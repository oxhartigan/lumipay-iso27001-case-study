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F:\GRC\Audit LumiPay\File Final\"/>
    </mc:Choice>
  </mc:AlternateContent>
  <xr:revisionPtr revIDLastSave="0" documentId="13_ncr:1_{09F83D27-8D80-4BB4-968C-11D323876E48}" xr6:coauthVersionLast="47" xr6:coauthVersionMax="47" xr10:uidLastSave="{00000000-0000-0000-0000-000000000000}"/>
  <bookViews>
    <workbookView xWindow="-120" yWindow="-120" windowWidth="20730" windowHeight="11160" tabRatio="500" firstSheet="2" activeTab="7" xr2:uid="{00000000-000D-0000-FFFF-FFFF00000000}"/>
  </bookViews>
  <sheets>
    <sheet name="Risk Register" sheetId="1" r:id="rId1"/>
    <sheet name="Evaluasi" sheetId="2" r:id="rId2"/>
    <sheet name="Penanganan" sheetId="3" r:id="rId3"/>
    <sheet name="Kelompok" sheetId="4" r:id="rId4"/>
    <sheet name="Kriteria" sheetId="5" r:id="rId5"/>
    <sheet name="Ringkasan" sheetId="6" r:id="rId6"/>
    <sheet name="Pemetaan" sheetId="7" r:id="rId7"/>
    <sheet name="SoA" sheetId="8" r:id="rId8"/>
  </sheets>
  <definedNames>
    <definedName name="_xlnm._FilterDatabase" localSheetId="2" hidden="1">Penanganan!$A$9:$R$31</definedName>
    <definedName name="_xlnm._FilterDatabase" localSheetId="0" hidden="1">'Risk Register'!$A$5:$N$27</definedName>
    <definedName name="_xlnm._FilterDatabase" localSheetId="7" hidden="1">SoA!$A$6:$M$99</definedName>
  </definedNames>
  <calcPr calcId="18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G99" i="8" l="1"/>
  <c r="M99" i="8" s="1"/>
  <c r="G98" i="8"/>
  <c r="M98" i="8" s="1"/>
  <c r="G97" i="8"/>
  <c r="G96" i="8"/>
  <c r="M96" i="8" s="1"/>
  <c r="G95" i="8"/>
  <c r="M95" i="8" s="1"/>
  <c r="G94" i="8"/>
  <c r="G93" i="8"/>
  <c r="G92" i="8"/>
  <c r="M92" i="8" s="1"/>
  <c r="G91" i="8"/>
  <c r="G90" i="8"/>
  <c r="G89" i="8"/>
  <c r="G88" i="8"/>
  <c r="G87" i="8"/>
  <c r="M87" i="8" s="1"/>
  <c r="G86" i="8"/>
  <c r="G85" i="8"/>
  <c r="G84" i="8"/>
  <c r="M84" i="8" s="1"/>
  <c r="G83" i="8"/>
  <c r="M83" i="8" s="1"/>
  <c r="G82" i="8"/>
  <c r="M82" i="8" s="1"/>
  <c r="G81" i="8"/>
  <c r="G80" i="8"/>
  <c r="G79" i="8"/>
  <c r="G78" i="8"/>
  <c r="G77" i="8"/>
  <c r="M77" i="8" s="1"/>
  <c r="G76" i="8"/>
  <c r="G75" i="8"/>
  <c r="M75" i="8" s="1"/>
  <c r="G74" i="8"/>
  <c r="G73" i="8"/>
  <c r="G72" i="8"/>
  <c r="G71" i="8"/>
  <c r="G70" i="8"/>
  <c r="G69" i="8"/>
  <c r="G68" i="8"/>
  <c r="G67" i="8"/>
  <c r="G66" i="8"/>
  <c r="M66" i="8" s="1"/>
  <c r="G65" i="8"/>
  <c r="M65" i="8" s="1"/>
  <c r="G64" i="8"/>
  <c r="M64" i="8" s="1"/>
  <c r="G63" i="8"/>
  <c r="M63" i="8" s="1"/>
  <c r="G62" i="8"/>
  <c r="M62" i="8" s="1"/>
  <c r="G61" i="8"/>
  <c r="M61" i="8" s="1"/>
  <c r="G60" i="8"/>
  <c r="M60" i="8" s="1"/>
  <c r="G59" i="8"/>
  <c r="M59" i="8" s="1"/>
  <c r="G58" i="8"/>
  <c r="M58" i="8" s="1"/>
  <c r="G57" i="8"/>
  <c r="M57" i="8" s="1"/>
  <c r="G56" i="8"/>
  <c r="M56" i="8" s="1"/>
  <c r="G55" i="8"/>
  <c r="M55" i="8" s="1"/>
  <c r="G54" i="8"/>
  <c r="M54" i="8" s="1"/>
  <c r="G53" i="8"/>
  <c r="M53" i="8" s="1"/>
  <c r="G52" i="8"/>
  <c r="M52" i="8" s="1"/>
  <c r="G51" i="8"/>
  <c r="G50" i="8"/>
  <c r="M50" i="8" s="1"/>
  <c r="G49" i="8"/>
  <c r="M49" i="8" s="1"/>
  <c r="G48" i="8"/>
  <c r="M48" i="8" s="1"/>
  <c r="G47" i="8"/>
  <c r="M47" i="8" s="1"/>
  <c r="G46" i="8"/>
  <c r="G45" i="8"/>
  <c r="M45" i="8" s="1"/>
  <c r="G44" i="8"/>
  <c r="M44" i="8" s="1"/>
  <c r="G43" i="8"/>
  <c r="M43" i="8" s="1"/>
  <c r="G42" i="8"/>
  <c r="M42" i="8" s="1"/>
  <c r="G41" i="8"/>
  <c r="G40" i="8"/>
  <c r="G39" i="8"/>
  <c r="M39" i="8" s="1"/>
  <c r="G38" i="8"/>
  <c r="M38" i="8" s="1"/>
  <c r="G37" i="8"/>
  <c r="M37" i="8" s="1"/>
  <c r="G36" i="8"/>
  <c r="G35" i="8"/>
  <c r="G34" i="8"/>
  <c r="M34" i="8" s="1"/>
  <c r="G33" i="8"/>
  <c r="M33" i="8" s="1"/>
  <c r="G32" i="8"/>
  <c r="M32" i="8" s="1"/>
  <c r="G31" i="8"/>
  <c r="M31" i="8" s="1"/>
  <c r="G30" i="8"/>
  <c r="M30" i="8" s="1"/>
  <c r="G29" i="8"/>
  <c r="G28" i="8"/>
  <c r="G27" i="8"/>
  <c r="M27" i="8" s="1"/>
  <c r="G26" i="8"/>
  <c r="G25" i="8"/>
  <c r="G24" i="8"/>
  <c r="G23" i="8"/>
  <c r="G22" i="8"/>
  <c r="M22" i="8" s="1"/>
  <c r="G21" i="8"/>
  <c r="G20" i="8"/>
  <c r="M20" i="8" s="1"/>
  <c r="G19" i="8"/>
  <c r="M19" i="8" s="1"/>
  <c r="G18" i="8"/>
  <c r="M18" i="8" s="1"/>
  <c r="G17" i="8"/>
  <c r="M17" i="8" s="1"/>
  <c r="G16" i="8"/>
  <c r="M16" i="8" s="1"/>
  <c r="G15" i="8"/>
  <c r="M15" i="8" s="1"/>
  <c r="G14" i="8"/>
  <c r="M14" i="8" s="1"/>
  <c r="G13" i="8"/>
  <c r="M13" i="8" s="1"/>
  <c r="G12" i="8"/>
  <c r="M12" i="8" s="1"/>
  <c r="G11" i="8"/>
  <c r="M11" i="8" s="1"/>
  <c r="G10" i="8"/>
  <c r="M10" i="8" s="1"/>
  <c r="G9" i="8"/>
  <c r="G8" i="8"/>
  <c r="M8" i="8" s="1"/>
  <c r="G7" i="8"/>
  <c r="M7" i="8" s="1"/>
  <c r="C3" i="8"/>
  <c r="C64" i="7"/>
  <c r="C63" i="7"/>
  <c r="C62" i="7"/>
  <c r="C61" i="7"/>
  <c r="C60" i="7"/>
  <c r="C59" i="7"/>
  <c r="C58" i="7"/>
  <c r="C57" i="7"/>
  <c r="C56" i="7"/>
  <c r="C55" i="7"/>
  <c r="C54" i="7"/>
  <c r="C53" i="7"/>
  <c r="C52" i="7"/>
  <c r="C51" i="7"/>
  <c r="C50" i="7"/>
  <c r="C49" i="7"/>
  <c r="C48" i="7"/>
  <c r="C47" i="7"/>
  <c r="C46" i="7"/>
  <c r="C45" i="7"/>
  <c r="C44" i="7"/>
  <c r="C43" i="7"/>
  <c r="C42" i="7"/>
  <c r="C41" i="7"/>
  <c r="C40" i="7"/>
  <c r="C39" i="7"/>
  <c r="C38" i="7"/>
  <c r="C37" i="7"/>
  <c r="C36" i="7"/>
  <c r="C35" i="7"/>
  <c r="C34" i="7"/>
  <c r="C33" i="7"/>
  <c r="C32" i="7"/>
  <c r="C31" i="7"/>
  <c r="C30" i="7"/>
  <c r="C29" i="7"/>
  <c r="C28" i="7"/>
  <c r="C27" i="7"/>
  <c r="C26" i="7"/>
  <c r="C25" i="7"/>
  <c r="C24" i="7"/>
  <c r="C23" i="7"/>
  <c r="C22" i="7"/>
  <c r="C21" i="7"/>
  <c r="C20" i="7"/>
  <c r="C19" i="7"/>
  <c r="C18" i="7"/>
  <c r="C17" i="7"/>
  <c r="C16" i="7"/>
  <c r="C15" i="7"/>
  <c r="C14" i="7"/>
  <c r="C13" i="7"/>
  <c r="C12" i="7"/>
  <c r="C11" i="7"/>
  <c r="C10" i="7"/>
  <c r="C9" i="7"/>
  <c r="C8" i="7"/>
  <c r="C7" i="7"/>
  <c r="C6" i="7"/>
  <c r="C5" i="7"/>
  <c r="B34" i="6"/>
  <c r="B33" i="6"/>
  <c r="B32" i="6"/>
  <c r="B31" i="6"/>
  <c r="B29" i="6"/>
  <c r="B28" i="6"/>
  <c r="B27" i="6"/>
  <c r="B26" i="6"/>
  <c r="B25" i="6"/>
  <c r="B23" i="6"/>
  <c r="B22" i="6"/>
  <c r="B21" i="6"/>
  <c r="B24" i="6" s="1"/>
  <c r="B20" i="6"/>
  <c r="B17" i="6"/>
  <c r="B14" i="6"/>
  <c r="B13" i="6"/>
  <c r="F15" i="5"/>
  <c r="E15" i="5"/>
  <c r="D15" i="5"/>
  <c r="C15" i="5"/>
  <c r="B15" i="5"/>
  <c r="F14" i="5"/>
  <c r="E14" i="5"/>
  <c r="D14" i="5"/>
  <c r="C14" i="5"/>
  <c r="B14" i="5"/>
  <c r="F13" i="5"/>
  <c r="E13" i="5"/>
  <c r="D13" i="5"/>
  <c r="C13" i="5"/>
  <c r="B13" i="5"/>
  <c r="F12" i="5"/>
  <c r="E12" i="5"/>
  <c r="D12" i="5"/>
  <c r="C12" i="5"/>
  <c r="B12" i="5"/>
  <c r="F11" i="5"/>
  <c r="E11" i="5"/>
  <c r="D11" i="5"/>
  <c r="C11" i="5"/>
  <c r="B11" i="5"/>
  <c r="B6" i="5"/>
  <c r="G11" i="4"/>
  <c r="G10" i="4"/>
  <c r="G9" i="4"/>
  <c r="G8" i="4"/>
  <c r="G7" i="4"/>
  <c r="G6" i="4"/>
  <c r="G5" i="4"/>
  <c r="M31" i="3"/>
  <c r="L31" i="3"/>
  <c r="K31" i="3"/>
  <c r="C31" i="3"/>
  <c r="M30" i="3"/>
  <c r="L30" i="3"/>
  <c r="K30" i="3"/>
  <c r="C30" i="3"/>
  <c r="O29" i="3"/>
  <c r="L29" i="3"/>
  <c r="K29" i="3"/>
  <c r="C29" i="3"/>
  <c r="M28" i="3"/>
  <c r="L28" i="3"/>
  <c r="K28" i="3"/>
  <c r="C28" i="3"/>
  <c r="O27" i="3"/>
  <c r="L27" i="3"/>
  <c r="K27" i="3"/>
  <c r="C27" i="3"/>
  <c r="M26" i="3"/>
  <c r="L26" i="3"/>
  <c r="K26" i="3"/>
  <c r="C26" i="3"/>
  <c r="M25" i="3"/>
  <c r="L25" i="3"/>
  <c r="K25" i="3"/>
  <c r="C25" i="3"/>
  <c r="O24" i="3"/>
  <c r="L24" i="3"/>
  <c r="K24" i="3"/>
  <c r="C24" i="3"/>
  <c r="M23" i="3"/>
  <c r="L23" i="3"/>
  <c r="K23" i="3"/>
  <c r="C23" i="3"/>
  <c r="O22" i="3"/>
  <c r="L22" i="3"/>
  <c r="K22" i="3"/>
  <c r="C22" i="3"/>
  <c r="O21" i="3"/>
  <c r="L21" i="3"/>
  <c r="K21" i="3"/>
  <c r="C21" i="3"/>
  <c r="O20" i="3"/>
  <c r="L20" i="3"/>
  <c r="K20" i="3"/>
  <c r="C20" i="3"/>
  <c r="O19" i="3"/>
  <c r="L19" i="3"/>
  <c r="K19" i="3"/>
  <c r="C19" i="3"/>
  <c r="M18" i="3"/>
  <c r="L18" i="3"/>
  <c r="K18" i="3"/>
  <c r="C18" i="3"/>
  <c r="M17" i="3"/>
  <c r="L17" i="3"/>
  <c r="K17" i="3"/>
  <c r="C17" i="3"/>
  <c r="O16" i="3"/>
  <c r="L16" i="3"/>
  <c r="K16" i="3"/>
  <c r="C16" i="3"/>
  <c r="O15" i="3"/>
  <c r="L15" i="3"/>
  <c r="K15" i="3"/>
  <c r="C15" i="3"/>
  <c r="O14" i="3"/>
  <c r="L14" i="3"/>
  <c r="K14" i="3"/>
  <c r="C14" i="3"/>
  <c r="O13" i="3"/>
  <c r="L13" i="3"/>
  <c r="K13" i="3"/>
  <c r="C13" i="3"/>
  <c r="O12" i="3"/>
  <c r="L12" i="3"/>
  <c r="K12" i="3"/>
  <c r="C12" i="3"/>
  <c r="O11" i="3"/>
  <c r="L11" i="3"/>
  <c r="K11" i="3"/>
  <c r="C11" i="3"/>
  <c r="O10" i="3"/>
  <c r="L10" i="3"/>
  <c r="K10" i="3"/>
  <c r="C10" i="3"/>
  <c r="I27" i="1"/>
  <c r="I26" i="1"/>
  <c r="I25" i="1"/>
  <c r="J25" i="1" s="1"/>
  <c r="I24" i="1"/>
  <c r="I23" i="1"/>
  <c r="J23" i="1" s="1"/>
  <c r="I22" i="1"/>
  <c r="I21" i="1"/>
  <c r="I20" i="1"/>
  <c r="J20" i="1" s="1"/>
  <c r="I19" i="1"/>
  <c r="I18" i="1"/>
  <c r="J18" i="1" s="1"/>
  <c r="I17" i="1"/>
  <c r="J17" i="1" s="1"/>
  <c r="I16" i="1"/>
  <c r="J16" i="1" s="1"/>
  <c r="I15" i="1"/>
  <c r="J15" i="1" s="1"/>
  <c r="I14" i="1"/>
  <c r="I13" i="1"/>
  <c r="I12" i="1"/>
  <c r="J12" i="1" s="1"/>
  <c r="I11" i="1"/>
  <c r="J11" i="1" s="1"/>
  <c r="I10" i="1"/>
  <c r="J10" i="1" s="1"/>
  <c r="I9" i="1"/>
  <c r="J9" i="1" s="1"/>
  <c r="I8" i="1"/>
  <c r="J8" i="1" s="1"/>
  <c r="I7" i="1"/>
  <c r="J7" i="1" s="1"/>
  <c r="I6" i="1"/>
  <c r="J6" i="1" s="1"/>
  <c r="D10" i="3" l="1"/>
  <c r="N6" i="1"/>
  <c r="L6" i="1"/>
  <c r="K6" i="1"/>
  <c r="D11" i="3"/>
  <c r="N7" i="1"/>
  <c r="L7" i="1"/>
  <c r="K7" i="1"/>
  <c r="E11" i="3" s="1"/>
  <c r="R11" i="3" s="1"/>
  <c r="D12" i="3"/>
  <c r="N8" i="1"/>
  <c r="L8" i="1"/>
  <c r="K8" i="1"/>
  <c r="E12" i="3" s="1"/>
  <c r="R12" i="3" s="1"/>
  <c r="D13" i="3"/>
  <c r="N9" i="1"/>
  <c r="L9" i="1"/>
  <c r="K9" i="1"/>
  <c r="E13" i="3" s="1"/>
  <c r="R13" i="3" s="1"/>
  <c r="D14" i="3"/>
  <c r="N10" i="1"/>
  <c r="L10" i="1"/>
  <c r="K10" i="1"/>
  <c r="E14" i="3" s="1"/>
  <c r="R14" i="3" s="1"/>
  <c r="D15" i="3"/>
  <c r="N11" i="1"/>
  <c r="L11" i="1"/>
  <c r="K11" i="1"/>
  <c r="E15" i="3" s="1"/>
  <c r="R15" i="3" s="1"/>
  <c r="D16" i="3"/>
  <c r="N12" i="1"/>
  <c r="L12" i="1"/>
  <c r="K12" i="1"/>
  <c r="E16" i="3" s="1"/>
  <c r="R16" i="3" s="1"/>
  <c r="N17" i="3"/>
  <c r="J13" i="1"/>
  <c r="N18" i="3"/>
  <c r="J14" i="1"/>
  <c r="D19" i="3"/>
  <c r="N15" i="1"/>
  <c r="L15" i="1"/>
  <c r="K15" i="1"/>
  <c r="E19" i="3" s="1"/>
  <c r="R19" i="3" s="1"/>
  <c r="D20" i="3"/>
  <c r="N16" i="1"/>
  <c r="L16" i="1"/>
  <c r="K16" i="1"/>
  <c r="E20" i="3" s="1"/>
  <c r="R20" i="3" s="1"/>
  <c r="D21" i="3"/>
  <c r="N17" i="1"/>
  <c r="L17" i="1"/>
  <c r="K17" i="1"/>
  <c r="E21" i="3" s="1"/>
  <c r="R21" i="3" s="1"/>
  <c r="D22" i="3"/>
  <c r="N18" i="1"/>
  <c r="L18" i="1"/>
  <c r="K18" i="1"/>
  <c r="E22" i="3" s="1"/>
  <c r="R22" i="3" s="1"/>
  <c r="N23" i="3"/>
  <c r="J19" i="1"/>
  <c r="D24" i="3"/>
  <c r="N20" i="1"/>
  <c r="L20" i="1"/>
  <c r="K20" i="1"/>
  <c r="E24" i="3" s="1"/>
  <c r="R24" i="3" s="1"/>
  <c r="N25" i="3"/>
  <c r="J21" i="1"/>
  <c r="N26" i="3"/>
  <c r="J22" i="1"/>
  <c r="D27" i="3"/>
  <c r="N23" i="1"/>
  <c r="L23" i="1"/>
  <c r="K23" i="1"/>
  <c r="E27" i="3" s="1"/>
  <c r="R27" i="3" s="1"/>
  <c r="N28" i="3"/>
  <c r="J24" i="1"/>
  <c r="D29" i="3"/>
  <c r="N25" i="1"/>
  <c r="L25" i="1"/>
  <c r="K25" i="1"/>
  <c r="E29" i="3" s="1"/>
  <c r="R29" i="3" s="1"/>
  <c r="N30" i="3"/>
  <c r="J26" i="1"/>
  <c r="N31" i="3"/>
  <c r="J27" i="1"/>
  <c r="Q10" i="3"/>
  <c r="P10" i="3"/>
  <c r="Q11" i="3"/>
  <c r="P11" i="3"/>
  <c r="Q12" i="3"/>
  <c r="P12" i="3"/>
  <c r="Q13" i="3"/>
  <c r="P13" i="3"/>
  <c r="Q14" i="3"/>
  <c r="P14" i="3"/>
  <c r="Q15" i="3"/>
  <c r="P15" i="3"/>
  <c r="Q16" i="3"/>
  <c r="P16" i="3"/>
  <c r="O17" i="3"/>
  <c r="O18" i="3"/>
  <c r="Q19" i="3"/>
  <c r="P19" i="3"/>
  <c r="Q20" i="3"/>
  <c r="P20" i="3"/>
  <c r="Q21" i="3"/>
  <c r="P21" i="3"/>
  <c r="Q22" i="3"/>
  <c r="P22" i="3"/>
  <c r="O23" i="3"/>
  <c r="Q24" i="3"/>
  <c r="P24" i="3"/>
  <c r="O25" i="3"/>
  <c r="O26" i="3"/>
  <c r="Q27" i="3"/>
  <c r="P27" i="3"/>
  <c r="O28" i="3"/>
  <c r="Q29" i="3"/>
  <c r="P29" i="3"/>
  <c r="O30" i="3"/>
  <c r="O31" i="3"/>
  <c r="J97" i="8"/>
  <c r="J94" i="8"/>
  <c r="J93" i="8"/>
  <c r="J91" i="8"/>
  <c r="J90" i="8"/>
  <c r="J89" i="8"/>
  <c r="J88" i="8"/>
  <c r="J86" i="8"/>
  <c r="J85" i="8"/>
  <c r="J81" i="8"/>
  <c r="J80" i="8"/>
  <c r="J79" i="8"/>
  <c r="J78" i="8"/>
  <c r="J76" i="8"/>
  <c r="J74" i="8"/>
  <c r="J73" i="8"/>
  <c r="J72" i="8"/>
  <c r="J71" i="8"/>
  <c r="J70" i="8"/>
  <c r="J69" i="8"/>
  <c r="J68" i="8"/>
  <c r="J67" i="8"/>
  <c r="J51" i="8"/>
  <c r="J46" i="8"/>
  <c r="J41" i="8"/>
  <c r="J40" i="8"/>
  <c r="J36" i="8"/>
  <c r="J35" i="8"/>
  <c r="J29" i="8"/>
  <c r="J28" i="8"/>
  <c r="J26" i="8"/>
  <c r="J25" i="8"/>
  <c r="J24" i="8"/>
  <c r="J23" i="8"/>
  <c r="J21" i="8"/>
  <c r="J9" i="8"/>
  <c r="M9" i="8"/>
  <c r="M21" i="8"/>
  <c r="M23" i="8"/>
  <c r="M24" i="8"/>
  <c r="M25" i="8"/>
  <c r="M26" i="8"/>
  <c r="M28" i="8"/>
  <c r="M29" i="8"/>
  <c r="M35" i="8"/>
  <c r="M36" i="8"/>
  <c r="M40" i="8"/>
  <c r="M41" i="8"/>
  <c r="M46" i="8"/>
  <c r="M51" i="8"/>
  <c r="M67" i="8"/>
  <c r="M68" i="8"/>
  <c r="M69" i="8"/>
  <c r="M70" i="8"/>
  <c r="M71" i="8"/>
  <c r="M72" i="8"/>
  <c r="M73" i="8"/>
  <c r="M74" i="8"/>
  <c r="M76" i="8"/>
  <c r="M78" i="8"/>
  <c r="M79" i="8"/>
  <c r="M80" i="8"/>
  <c r="M81" i="8"/>
  <c r="M85" i="8"/>
  <c r="M86" i="8"/>
  <c r="M88" i="8"/>
  <c r="M89" i="8"/>
  <c r="M90" i="8"/>
  <c r="M91" i="8"/>
  <c r="M93" i="8"/>
  <c r="M94" i="8"/>
  <c r="M97" i="8"/>
  <c r="B30" i="6" l="1"/>
  <c r="Q31" i="3"/>
  <c r="P31" i="3"/>
  <c r="Q30" i="3"/>
  <c r="P30" i="3"/>
  <c r="Q28" i="3"/>
  <c r="P28" i="3"/>
  <c r="Q26" i="3"/>
  <c r="P26" i="3"/>
  <c r="Q25" i="3"/>
  <c r="P25" i="3"/>
  <c r="Q23" i="3"/>
  <c r="P23" i="3"/>
  <c r="Q18" i="3"/>
  <c r="P18" i="3"/>
  <c r="Q17" i="3"/>
  <c r="P17" i="3"/>
  <c r="B16" i="6"/>
  <c r="B15" i="6"/>
  <c r="D31" i="3"/>
  <c r="N27" i="1"/>
  <c r="L27" i="1"/>
  <c r="K27" i="1"/>
  <c r="E31" i="3" s="1"/>
  <c r="R31" i="3" s="1"/>
  <c r="D30" i="3"/>
  <c r="N26" i="1"/>
  <c r="L26" i="1"/>
  <c r="K26" i="1"/>
  <c r="E30" i="3" s="1"/>
  <c r="R30" i="3" s="1"/>
  <c r="D28" i="3"/>
  <c r="N24" i="1"/>
  <c r="L24" i="1"/>
  <c r="K24" i="1"/>
  <c r="E28" i="3" s="1"/>
  <c r="R28" i="3" s="1"/>
  <c r="D26" i="3"/>
  <c r="N22" i="1"/>
  <c r="L22" i="1"/>
  <c r="K22" i="1"/>
  <c r="E26" i="3" s="1"/>
  <c r="R26" i="3" s="1"/>
  <c r="D25" i="3"/>
  <c r="N21" i="1"/>
  <c r="L21" i="1"/>
  <c r="K21" i="1"/>
  <c r="E25" i="3" s="1"/>
  <c r="R25" i="3" s="1"/>
  <c r="D23" i="3"/>
  <c r="N19" i="1"/>
  <c r="L19" i="1"/>
  <c r="K19" i="1"/>
  <c r="E23" i="3" s="1"/>
  <c r="R23" i="3" s="1"/>
  <c r="D18" i="3"/>
  <c r="N14" i="1"/>
  <c r="L14" i="1"/>
  <c r="K14" i="1"/>
  <c r="E18" i="3" s="1"/>
  <c r="R18" i="3" s="1"/>
  <c r="D17" i="3"/>
  <c r="N13" i="1"/>
  <c r="L13" i="1"/>
  <c r="K13" i="1"/>
  <c r="E17" i="3" s="1"/>
  <c r="R17" i="3" s="1"/>
  <c r="B10" i="6"/>
  <c r="B7" i="6"/>
  <c r="B6" i="6"/>
  <c r="B5" i="6"/>
  <c r="B4" i="6"/>
  <c r="B8" i="6" s="1"/>
  <c r="E10" i="3"/>
  <c r="R10" i="3" s="1"/>
  <c r="B9" i="6"/>
  <c r="G31" i="2"/>
  <c r="F31" i="2"/>
  <c r="E31" i="2"/>
  <c r="D31" i="2"/>
  <c r="C31" i="2"/>
  <c r="B31" i="2"/>
  <c r="G30" i="2"/>
  <c r="F30" i="2"/>
  <c r="E30" i="2"/>
  <c r="D30" i="2"/>
  <c r="C30" i="2"/>
  <c r="B30" i="2"/>
  <c r="G29" i="2"/>
  <c r="F29" i="2"/>
  <c r="E29" i="2"/>
  <c r="D29" i="2"/>
  <c r="C29" i="2"/>
  <c r="B29" i="2"/>
  <c r="G28" i="2"/>
  <c r="F28" i="2"/>
  <c r="E28" i="2"/>
  <c r="D28" i="2"/>
  <c r="C28" i="2"/>
  <c r="B28" i="2"/>
  <c r="G27" i="2"/>
  <c r="F27" i="2"/>
  <c r="E27" i="2"/>
  <c r="D27" i="2"/>
  <c r="C27" i="2"/>
  <c r="B27" i="2"/>
  <c r="G26" i="2"/>
  <c r="F26" i="2"/>
  <c r="E26" i="2"/>
  <c r="D26" i="2"/>
  <c r="C26" i="2"/>
  <c r="B26" i="2"/>
  <c r="G25" i="2"/>
  <c r="F25" i="2"/>
  <c r="E25" i="2"/>
  <c r="D25" i="2"/>
  <c r="C25" i="2"/>
  <c r="B25" i="2"/>
  <c r="G24" i="2"/>
  <c r="F24" i="2"/>
  <c r="E24" i="2"/>
  <c r="D24" i="2"/>
  <c r="C24" i="2"/>
  <c r="B24" i="2"/>
  <c r="G23" i="2"/>
  <c r="F23" i="2"/>
  <c r="E23" i="2"/>
  <c r="D23" i="2"/>
  <c r="C23" i="2"/>
  <c r="B23" i="2"/>
  <c r="G22" i="2"/>
  <c r="F22" i="2"/>
  <c r="E22" i="2"/>
  <c r="D22" i="2"/>
  <c r="C22" i="2"/>
  <c r="B22" i="2"/>
  <c r="G21" i="2"/>
  <c r="F21" i="2"/>
  <c r="E21" i="2"/>
  <c r="D21" i="2"/>
  <c r="C21" i="2"/>
  <c r="B21" i="2"/>
  <c r="G20" i="2"/>
  <c r="F20" i="2"/>
  <c r="E20" i="2"/>
  <c r="D20" i="2"/>
  <c r="C20" i="2"/>
  <c r="B20" i="2"/>
  <c r="G19" i="2"/>
  <c r="F19" i="2"/>
  <c r="E19" i="2"/>
  <c r="D19" i="2"/>
  <c r="C19" i="2"/>
  <c r="B19" i="2"/>
  <c r="G18" i="2"/>
  <c r="F18" i="2"/>
  <c r="E18" i="2"/>
  <c r="D18" i="2"/>
  <c r="C18" i="2"/>
  <c r="B18" i="2"/>
  <c r="G17" i="2"/>
  <c r="F17" i="2"/>
  <c r="E17" i="2"/>
  <c r="D17" i="2"/>
  <c r="C17" i="2"/>
  <c r="B17" i="2"/>
  <c r="G16" i="2"/>
  <c r="F16" i="2"/>
  <c r="E16" i="2"/>
  <c r="D16" i="2"/>
  <c r="C16" i="2"/>
  <c r="B16" i="2"/>
  <c r="G15" i="2"/>
  <c r="F15" i="2"/>
  <c r="E15" i="2"/>
  <c r="D15" i="2"/>
  <c r="C15" i="2"/>
  <c r="B15" i="2"/>
  <c r="G14" i="2"/>
  <c r="F14" i="2"/>
  <c r="E14" i="2"/>
  <c r="D14" i="2"/>
  <c r="C14" i="2"/>
  <c r="B14" i="2"/>
  <c r="G13" i="2"/>
  <c r="F13" i="2"/>
  <c r="E13" i="2"/>
  <c r="D13" i="2"/>
  <c r="C13" i="2"/>
  <c r="B13" i="2"/>
  <c r="G12" i="2"/>
  <c r="F12" i="2"/>
  <c r="E12" i="2"/>
  <c r="D12" i="2"/>
  <c r="C12" i="2"/>
  <c r="B12" i="2"/>
  <c r="G11" i="2"/>
  <c r="F11" i="2"/>
  <c r="E11" i="2"/>
  <c r="D11" i="2"/>
  <c r="C11" i="2"/>
  <c r="B11" i="2"/>
  <c r="G10" i="2"/>
  <c r="F10" i="2"/>
  <c r="E10" i="2"/>
  <c r="D10" i="2"/>
  <c r="C10" i="2"/>
  <c r="B10" i="2"/>
  <c r="F31" i="3" l="1"/>
  <c r="F30" i="3"/>
  <c r="F29" i="3"/>
  <c r="F28" i="3"/>
  <c r="F27" i="3"/>
  <c r="F26" i="3"/>
  <c r="F25" i="3"/>
  <c r="F24" i="3"/>
  <c r="F23" i="3"/>
  <c r="F22" i="3"/>
  <c r="F21" i="3"/>
  <c r="F20" i="3"/>
  <c r="F19" i="3"/>
  <c r="F18" i="3"/>
  <c r="F17" i="3"/>
  <c r="F16" i="3"/>
  <c r="F15" i="3"/>
  <c r="F14" i="3"/>
  <c r="F13" i="3"/>
  <c r="F12" i="3"/>
  <c r="F11" i="3"/>
  <c r="F10" i="3"/>
  <c r="I10" i="2"/>
  <c r="H10" i="2"/>
  <c r="I11" i="2"/>
  <c r="H11" i="2"/>
  <c r="I12" i="2"/>
  <c r="H12" i="2"/>
  <c r="I13" i="2"/>
  <c r="H13" i="2"/>
  <c r="I14" i="2"/>
  <c r="H14" i="2"/>
  <c r="I15" i="2"/>
  <c r="H15" i="2"/>
  <c r="I16" i="2"/>
  <c r="H16" i="2"/>
  <c r="I17" i="2"/>
  <c r="H17" i="2"/>
  <c r="I18" i="2"/>
  <c r="H18" i="2"/>
  <c r="I19" i="2"/>
  <c r="H19" i="2"/>
  <c r="I20" i="2"/>
  <c r="H20" i="2"/>
  <c r="I21" i="2"/>
  <c r="H21" i="2"/>
  <c r="I22" i="2"/>
  <c r="H22" i="2"/>
  <c r="I23" i="2"/>
  <c r="H23" i="2"/>
  <c r="I24" i="2"/>
  <c r="H24" i="2"/>
  <c r="I25" i="2"/>
  <c r="H25" i="2"/>
  <c r="I26" i="2"/>
  <c r="H26" i="2"/>
  <c r="I27" i="2"/>
  <c r="H27" i="2"/>
  <c r="I28" i="2"/>
  <c r="H28" i="2"/>
  <c r="I29" i="2"/>
  <c r="H29" i="2"/>
  <c r="I30" i="2"/>
  <c r="H30" i="2"/>
  <c r="I31" i="2"/>
  <c r="H31" i="2"/>
</calcChain>
</file>

<file path=xl/sharedStrings.xml><?xml version="1.0" encoding="utf-8"?>
<sst xmlns="http://schemas.openxmlformats.org/spreadsheetml/2006/main" count="1533" uniqueCount="709">
  <si>
    <t>Risk Register LumiPay v1.0 (14 Okt 2026): Analisis Risiko (langkah 3)</t>
  </si>
  <si>
    <t>Penilaian ini untuk kondisi saat ini (sebelum penanganan). Dampak diambil dari dimensi yang paling parah (MAX), lalu skor = kemungkinan x dampak.</t>
  </si>
  <si>
    <t>Legenda: sel biru berlatar kuning = nilai penilaian (boleh diubah, skala 1 sampai 5). Sel hitam = rumus, jangan diketik manual. Batas level dan penerimaan ada di sheet Kriteria.</t>
  </si>
  <si>
    <t>ID</t>
  </si>
  <si>
    <t>Aset</t>
  </si>
  <si>
    <t>Skenario risiko</t>
  </si>
  <si>
    <t>Pemilik risiko</t>
  </si>
  <si>
    <t>Kemungkinan (1-5)</t>
  </si>
  <si>
    <t>Dampak operasional layanan (1-5)</t>
  </si>
  <si>
    <t>Dampak finansial (1-5)</t>
  </si>
  <si>
    <t>Dampak reputasi (1-5)</t>
  </si>
  <si>
    <t>Dampak (maks)</t>
  </si>
  <si>
    <t>Skor</t>
  </si>
  <si>
    <t>Level</t>
  </si>
  <si>
    <t>Keputusan awal</t>
  </si>
  <si>
    <t>Alasan penilaian</t>
  </si>
  <si>
    <t>Kunci urutan prioritas (bantuan, jangan diubah)</t>
  </si>
  <si>
    <t>R-01</t>
  </si>
  <si>
    <t>A-01 Database transaksi</t>
  </si>
  <si>
    <t>Data transaksi dicuri atau dimanipulasi lewat celah aplikasi</t>
  </si>
  <si>
    <t>Head of Engineering</t>
  </si>
  <si>
    <t>Validasi input lemah dan patch terlambat; dampak terbesar pada finansial dan reputasi.</t>
  </si>
  <si>
    <t>R-02</t>
  </si>
  <si>
    <t>A-02 Data KYC pengguna</t>
  </si>
  <si>
    <t>Data KTP dan swafoto pengguna bocor atau disalahgunakan</t>
  </si>
  <si>
    <t>Compliance Officer</t>
  </si>
  <si>
    <t>Hak akses luas dan belum ada MFA; kebocoran data pribadi memukul reputasi.</t>
  </si>
  <si>
    <t>R-03</t>
  </si>
  <si>
    <t>File KYC terekspos ke internet</t>
  </si>
  <si>
    <t>Head of Infrastructure</t>
  </si>
  <si>
    <t>Salah konfigurasi jarang terjadi tetapi mungkin; jika terekspos, kepercayaan publik sangat terpukul.</t>
  </si>
  <si>
    <t>R-04</t>
  </si>
  <si>
    <t>A-03 Saldo dan ledger</t>
  </si>
  <si>
    <t>Saldo atau mutasi diubah tanpa terdeteksi</t>
  </si>
  <si>
    <t>Head of Finance Operations</t>
  </si>
  <si>
    <t>Tanpa pemisahan tugas dan rekonsiliasi manual; kejadian jarang, tetapi kerugian finansial besar.</t>
  </si>
  <si>
    <t>R-05</t>
  </si>
  <si>
    <t>A-04 Kunci enkripsi dan secret</t>
  </si>
  <si>
    <t>Kunci jatuh ke penyerang sehingga data terenkripsi bisa dibuka</t>
  </si>
  <si>
    <t>Head of Security</t>
  </si>
  <si>
    <t>Secret di kode atau chat membuat kebocoran cukup mungkin; efeknya berantai ke banyak sistem.</t>
  </si>
  <si>
    <t>R-06</t>
  </si>
  <si>
    <t>A-05 Kode sumber dan pipeline CI/CD</t>
  </si>
  <si>
    <t>Kode sumber bocor sehingga celah aplikasi dan logika bisnis terlihat pihak yang tidak berwenang</t>
  </si>
  <si>
    <t>Akun mantan karyawan masih aktif dan tanpa MFA, repositori bisa dipublikasikan tanpa kontrol; kebocoran kode membuka celah aplikasi dan kekayaan intelektual. Secret di dalam kode dicakup R-05, perubahan kode tanpa izin dicakup R-07.</t>
  </si>
  <si>
    <t>R-07</t>
  </si>
  <si>
    <t>Kode atau pipeline diubah tanpa izin sehingga kode berbahaya masuk ke produksi dan dana atau data pengguna disalahgunakan</t>
  </si>
  <si>
    <t>Kerentanan akses sama dengan R-06 (tanpa MFA, akun mantan karyawan aktif), ditambah belum ada branch protection dan review wajib. Kode berbahaya di aplikasi pembayaran bisa mengalihkan dana dan memengaruhi semua pengguna, jadi dampak dinilai paling parah. Beda dengan R-06: ini soal integritas, bukan kerahasiaan.</t>
  </si>
  <si>
    <t>R-08</t>
  </si>
  <si>
    <t>A-06 Dokumen kebijakan dan kontrak</t>
  </si>
  <si>
    <t>Kebijakan usang atau berubah tanpa persetujuan, kewajiban hukum terlewat</t>
  </si>
  <si>
    <t>Tanpa kontrol versi; dampak operasional kecil, tetapi bisa memicu temuan kepatuhan.</t>
  </si>
  <si>
    <t>R-09</t>
  </si>
  <si>
    <t>A-07 Aplikasi mobile</t>
  </si>
  <si>
    <t>Aplikasi palsu mencuri kredensial pengguna</t>
  </si>
  <si>
    <t>Product Owner</t>
  </si>
  <si>
    <t>Aplikasi tiruan cukup umum di sektor dompet digital; tidak ada proteksi integritas aplikasi.</t>
  </si>
  <si>
    <t>R-10</t>
  </si>
  <si>
    <t>A-08 API payment gateway</t>
  </si>
  <si>
    <t>API tidak tersedia, transaksi merchant gagal</t>
  </si>
  <si>
    <t>Tanpa rate limiting dan proteksi DDoS yang memadai; serangan ke API pembayaran sering terjadi.</t>
  </si>
  <si>
    <t>R-11</t>
  </si>
  <si>
    <t>Penyerang mengakses transaksi merchant lain</t>
  </si>
  <si>
    <t>Otorisasi per objek lemah; celah semacam ini umum di API.</t>
  </si>
  <si>
    <t>R-12</t>
  </si>
  <si>
    <t>A-09 Dasbor merchant</t>
  </si>
  <si>
    <t>Akun merchant diambil alih dan dana dialihkan</t>
  </si>
  <si>
    <t>Credential stuffing sangat umum; MFA masih opsional.</t>
  </si>
  <si>
    <t>R-13</t>
  </si>
  <si>
    <t>A-10 Monitoring dan log</t>
  </si>
  <si>
    <t>Insiden tidak terdeteksi atau tidak bisa diselidiki</t>
  </si>
  <si>
    <t>Log tidak dilindungi, retensi singkat, tanpa alerting; memperlambat deteksi dan investigasi.</t>
  </si>
  <si>
    <t>R-14</t>
  </si>
  <si>
    <t>A-11 Infrastruktur cloud</t>
  </si>
  <si>
    <t>Layanan berhenti berjam-jam</t>
  </si>
  <si>
    <t>Gangguan penyedia cloud jarang, tetapi tanpa multi-zona dampaknya langsung ke layanan inti.</t>
  </si>
  <si>
    <t>R-15</t>
  </si>
  <si>
    <t>Data produksi terenkripsi dan backup ikut rusak</t>
  </si>
  <si>
    <t>Backup tidak terisolasi dan belum pernah diuji pulihkan; jika terjadi, layanan bisa mati lebih dari 24 jam.</t>
  </si>
  <si>
    <t>R-16</t>
  </si>
  <si>
    <t>A-12 Jaringan kantor</t>
  </si>
  <si>
    <t>Penyerang di jaringan kantor menjangkau sistem internal</t>
  </si>
  <si>
    <t>Segmentasi lemah, tetapi sistem produksi ada di cloud sehingga jangkauannya terbatas.</t>
  </si>
  <si>
    <t>R-17</t>
  </si>
  <si>
    <t>A-13 Laptop karyawan</t>
  </si>
  <si>
    <t>Data perusahaan bocor dari laptop</t>
  </si>
  <si>
    <t>Head of IT Support</t>
  </si>
  <si>
    <t>Disk belum terenkripsi dan tanpa manajemen perangkat; kehilangan laptop cukup mungkin terjadi.</t>
  </si>
  <si>
    <t>R-18</t>
  </si>
  <si>
    <t>Karyawan menyerahkan kredensial dan penyerang masuk ke sistem</t>
  </si>
  <si>
    <t>Phishing terus menyerang; kesadaran rendah dan filter email longgar membuat sebagian berhasil.</t>
  </si>
  <si>
    <t>R-19</t>
  </si>
  <si>
    <t>A-14 Integrasi bank mitra dan QRIS</t>
  </si>
  <si>
    <t>Transaksi tertahan atau disusupi</t>
  </si>
  <si>
    <t>Head of Partnership</t>
  </si>
  <si>
    <t>Kredensial jarang diganti dan tanpa failover; kejadian jarang tetapi menyentuh jalur transaksi.</t>
  </si>
  <si>
    <t>R-20</t>
  </si>
  <si>
    <t>A-15 Layanan KYC pihak ketiga</t>
  </si>
  <si>
    <t>Data KYC pengguna bocor dari penyedia</t>
  </si>
  <si>
    <t>Penyedia memegang data KTP dan swafoto, dan tanpa penilaian keamanan vendor kontrol di sisi penyedia tidak terverifikasi. Dampak kebocoran data pribadi sama beratnya dengan R-03 (reputasi 5); kemungkinan juga dinilai sama (2) karena kejadian di penyedia jarang, tetapi tidak bisa dikendalikan langsung oleh LumiPay.</t>
  </si>
  <si>
    <t>R-21</t>
  </si>
  <si>
    <t>A-16 Layanan SMS OTP pihak ketiga</t>
  </si>
  <si>
    <t>Pengguna tidak bisa login atau bertransaksi, atau OTP disalahgunakan</t>
  </si>
  <si>
    <t>Bergantung pada satu penyedia tanpa cadangan, dan OTP lewat SMS rentan gangguan serta penyadapan (misalnya SIM swap). Gangguan beberapa jam membuat login dan transaksi terblokir; dampak dinilai lebih ringan dari pengambilalihan akun karena butuh gangguan atau penyadapan di luar kendali LumiPay.</t>
  </si>
  <si>
    <t>R-22</t>
  </si>
  <si>
    <t>A-17 Personel kunci</t>
  </si>
  <si>
    <t>Pengetahuan kritis hilang dan akses mantan karyawan masih aktif</t>
  </si>
  <si>
    <t>Head of HR</t>
  </si>
  <si>
    <t>Ketergantungan pada satu orang dan offboarding tidak teratur; perputaran karyawan wajar terjadi.</t>
  </si>
  <si>
    <t>Evaluasi Risiko LumiPay (langkah 4)</t>
  </si>
  <si>
    <t>Skor tiap risiko dibandingkan dengan batas penerimaan (sheet Kriteria), lalu diurutkan dari yang paling mendesak.</t>
  </si>
  <si>
    <t>Aturan urutan: skor tertinggi dulu; jika sama, dampak tertinggi dulu; jika masih sama, kemungkinan tertinggi dulu; terakhir urutan ID.</t>
  </si>
  <si>
    <t>Legenda: sel biru berlatar kuning = parameter tenggat (boleh diubah). Kolom lain berisi rumus yang membaca Risk Register.</t>
  </si>
  <si>
    <t>Tenggat penanganan level Tinggi (hari)</t>
  </si>
  <si>
    <t>Tenggat penanganan level Kritis (hari)</t>
  </si>
  <si>
    <t>Prioritas</t>
  </si>
  <si>
    <t>Keputusan evaluasi</t>
  </si>
  <si>
    <t>Tenggat penanganan</t>
  </si>
  <si>
    <t>Pihak yang menyetujui</t>
  </si>
  <si>
    <t>Catatan: batas penerimaan ada di sheet Kriteria (skor 9). Tenggat 90 dan 30 hari adalah parameter rekaan untuk LumiPay.</t>
  </si>
  <si>
    <t>Rencana Penanganan Risiko LumiPay v1.0 (14 Okt 2026) (langkah 5)</t>
  </si>
  <si>
    <t>Untuk tiap risiko dipilih opsi penanganan (mitigasi, terima, hindari, atau transfer), kontrol Annex A 2022, dan diperkirakan risiko sisa setelah kontrol diterapkan.</t>
  </si>
  <si>
    <t>Risiko dengan akar masalah sama ditangani bersama dalam satu kelompok (lihat sheet Kelompok). Kontrol di sini menjadi bahan untuk SoA (langkah 6).</t>
  </si>
  <si>
    <t>Legenda: sel biru berlatar kuning = nilai yang diisi (tanggal, nilai kemungkinan dan dampak risiko sisa). Kolom lain berisi rumus atau teks usulan.</t>
  </si>
  <si>
    <t>Tanggal penetapan rencana</t>
  </si>
  <si>
    <t>Kelompok</t>
  </si>
  <si>
    <t>Skor awal</t>
  </si>
  <si>
    <t>Level awal</t>
  </si>
  <si>
    <t>Prioritas evaluasi</t>
  </si>
  <si>
    <t>Opsi penanganan</t>
  </si>
  <si>
    <t>Kontrol Annex A (2022)</t>
  </si>
  <si>
    <t>Tindakan penanganan</t>
  </si>
  <si>
    <t>Alasan pemilihan opsi</t>
  </si>
  <si>
    <t>Penanggung jawab</t>
  </si>
  <si>
    <t>Target selesai atau tinjau</t>
  </si>
  <si>
    <t>Kemungkinan sisa (1-5)</t>
  </si>
  <si>
    <t>Dampak sisa (1-5)</t>
  </si>
  <si>
    <t>Skor sisa</t>
  </si>
  <si>
    <t>Level sisa</t>
  </si>
  <si>
    <t>Status risiko sisa</t>
  </si>
  <si>
    <t>Penyetuju risiko sisa</t>
  </si>
  <si>
    <t>G3</t>
  </si>
  <si>
    <t>Mitigasi</t>
  </si>
  <si>
    <t>8.26, 8.28, 8.29, 8.8</t>
  </si>
  <si>
    <t>Validasi input dan query berparameter pada semua akses database; code review dan pengujian keamanan (SAST dan pentest) sebelum rilis; patch kerentanan kritis maksimal 14 hari.</t>
  </si>
  <si>
    <t>Skor 12 di atas batas; kontrol pencegahan di tingkat kode paling efektif menurunkan kemungkinan.</t>
  </si>
  <si>
    <t>G1</t>
  </si>
  <si>
    <t>5.15, 5.18, 8.2, 8.3, 8.5, 8.15</t>
  </si>
  <si>
    <t>Hak akses berbasis peran (least privilege) ke data KYC, MFA wajib untuk semua akses, tinjauan hak akses tiap 3 bulan, log akses data KYC dipantau.</t>
  </si>
  <si>
    <t>Skor 12 di atas batas; membatasi siapa yang bisa mengakses menurunkan kemungkinan, dampak data bocor tetap besar.</t>
  </si>
  <si>
    <t>G5</t>
  </si>
  <si>
    <t>8.9, 8.3, 8.24, 8.16, 5.23</t>
  </si>
  <si>
    <t>Blok akses publik pada object storage secara default, enkripsi at-rest, baseline konfigurasi cloud dengan pemindaian otomatis dan alert jika ada perubahan.</t>
  </si>
  <si>
    <t>Skor 10 di atas batas; konfigurasi yang dijaga otomatis hampir menutup kemungkinan salah konfigurasi.</t>
  </si>
  <si>
    <t>5.3, 8.3, 8.2, 8.15</t>
  </si>
  <si>
    <t>Pemisahan tugas antara pengubah dan penyetuju data ledger, rekonsiliasi otomatis harian, log perubahan ledger yang tidak bisa diubah.</t>
  </si>
  <si>
    <t>Skor 10 di atas batas; dampak finansial tetap besar jika terjadi, jadi yang ditekan adalah kemungkinan dan deteksi.</t>
  </si>
  <si>
    <t>G2</t>
  </si>
  <si>
    <t>8.24, 5.17, 8.28, 8.4</t>
  </si>
  <si>
    <t>Semua secret dipindah ke secrets manager, secret scanning di repositori dan pipeline, rotasi kunci terjadwal, larangan menyimpan secret di kode dan chat.</t>
  </si>
  <si>
    <t>Skor 12 di atas batas; akar masalah (secret di kode) dihilangkan, dampak kebocoran kunci tetap serius.</t>
  </si>
  <si>
    <t>8.4, 5.18, 8.5, 8.3</t>
  </si>
  <si>
    <t>Repositori privat secara default dengan kontrol publikasi, MFA wajib, pencabutan akun mantan karyawan, tinjauan akses repositori tiap 3 bulan.</t>
  </si>
  <si>
    <t>Skor 9 sebenarnya boleh diterima, tetapi kontrolnya sama dengan R-05 dan R-07 sehingga ditangani bersama dalam satu kelompok.</t>
  </si>
  <si>
    <t>8.4, 8.32, 5.18, 8.5, 8.25</t>
  </si>
  <si>
    <t>Branch protection dan review kode wajib dua orang, deploy ke produksi lewat persetujuan, MFA wajib pada repositori dan pipeline, pencabutan akun lama, pemantauan perubahan pipeline.</t>
  </si>
  <si>
    <t>Skor 15 di atas batas; akibat tetap berat jika lolos, jadi dibutuhkan lapisan persetujuan deploy dan deteksi agar dampak sisa turun.</t>
  </si>
  <si>
    <t>-</t>
  </si>
  <si>
    <t>Terima</t>
  </si>
  <si>
    <t>Dipantau pada tinjauan berkala 6 bulan.</t>
  </si>
  <si>
    <t>Skor 6, di bawah batas penerimaan; dampak operasional kecil.</t>
  </si>
  <si>
    <t>Dipantau pada tinjauan berkala 6 bulan; laporan pengguna soal aplikasi tiruan ditindaklanjuti.</t>
  </si>
  <si>
    <t>Skor 9, tepat di batas penerimaan; ditinjau tiap 6 bulan.</t>
  </si>
  <si>
    <t>G4</t>
  </si>
  <si>
    <t>8.6, 8.20, 8.21, 8.16</t>
  </si>
  <si>
    <t>Rate limiting pada API, layanan proteksi DDoS dari penyedia cloud atau CDN, autoscaling dan pemantauan lonjakan trafik.</t>
  </si>
  <si>
    <t>Skor 16 tertinggi; serangan DDoS tidak bisa dicegah sepenuhnya, jadi tujuannya memperkecil frekuensi berhasil dan durasi gangguan.</t>
  </si>
  <si>
    <t>8.26, 8.28, 8.29, 8.3, 8.16</t>
  </si>
  <si>
    <t>Otorisasi per objek diuji di setiap endpoint, pentest API berkala, pemantauan pola akses tidak wajar.</t>
  </si>
  <si>
    <t>Skor 12 di atas batas; celah otorisasi ditutup di kode dan diuji berkala.</t>
  </si>
  <si>
    <t>8.5, 5.17, 8.16</t>
  </si>
  <si>
    <t>MFA wajib untuk akun merchant, kebijakan kata sandi dan pengecekan kata sandi bocor, deteksi login anomali dan pembatasan percobaan.</t>
  </si>
  <si>
    <t>Skor 12 di atas batas; MFA langsung memutus credential stuffing.</t>
  </si>
  <si>
    <t>G7</t>
  </si>
  <si>
    <t>8.15, 8.16</t>
  </si>
  <si>
    <t>Retensi log minimal 12 bulan, perlindungan integritas log, alerting untuk kejadian kritis.</t>
  </si>
  <si>
    <t>Skor 9 boleh diterima, tetapi kontrol deteksi di kelompok lain (R-02, R-04, R-10, R-11) bergantung pada log yang memadai.</t>
  </si>
  <si>
    <t>Skor 8; gangguan penyedia cloud ditoleransi sesuai SLA penyedia.</t>
  </si>
  <si>
    <t>Mitigasi dan transfer</t>
  </si>
  <si>
    <t>8.13, 8.7, 5.30, 8.14, 5.29</t>
  </si>
  <si>
    <t>Backup terisolasi (immutable) dengan uji pemulihan berkala, proteksi endpoint dan server, rencana pemulihan dengan target waktu; sebagian risiko dialihkan lewat asuransi siber.</t>
  </si>
  <si>
    <t>Skor 10 di atas batas; backup teruji menurunkan dampak, asuransi mengalihkan sebagian kerugian finansial.</t>
  </si>
  <si>
    <t>Skor 6; sistem produksi berada di cloud sehingga jangkauan dari jaringan kantor terbatas.</t>
  </si>
  <si>
    <t>Skor 9, tepat di batas penerimaan; enkripsi disk ditunda karena keterbatasan anggaran.</t>
  </si>
  <si>
    <t>6.3, 8.23, 8.7, 8.5, 6.8</t>
  </si>
  <si>
    <t>Pelatihan dan simulasi phishing berkala, filter email dan web, MFA tahan phishing untuk sistem kritis, jalur pelaporan email mencurigakan.</t>
  </si>
  <si>
    <t>Skor 16 tertinggi; phishing tidak bisa dihilangkan, jadi MFA dibuat agar kredensial curian tidak cukup.</t>
  </si>
  <si>
    <t>Skor 8; terkendali lewat SLA dan kontak teknis dengan bank mitra.</t>
  </si>
  <si>
    <t>G6</t>
  </si>
  <si>
    <t>5.19, 5.20, 5.22, 5.34</t>
  </si>
  <si>
    <t>Penilaian keamanan vendor sebelum dan berkala, klausul keamanan dan notifikasi insiden di kontrak, batasi retensi data di vendor, ganti rugi kontraktual.</t>
  </si>
  <si>
    <t>Skor 10 di atas batas; LumiPay tidak mengendalikan sistem vendor, jadi kontrol berupa pengawasan dan kontrak, dengan transfer sebagian risiko lewat kontrak.</t>
  </si>
  <si>
    <t>Catatan: kontrol diambil dari ISO/IEC 27002:2022 (Annex A 27001:2022). Nilai risiko sisa adalah perkiraan setelah kontrol diterapkan dan perlu diverifikasi.</t>
  </si>
  <si>
    <t>Opsi 'Hindari' dan 'Transfer penuh' belum dipakai; transfer dipakai sebagian (R-15 dan R-20). Risiko yang diterima wajib punya alasan tertulis dan persetujuan pemilik risiko.</t>
  </si>
  <si>
    <t>Kelompok Penanganan Risiko</t>
  </si>
  <si>
    <t>Risiko yang akar masalahnya sama ditangani bersama, supaya satu perbaikan menutup beberapa risiko sekaligus.</t>
  </si>
  <si>
    <t>Kode</t>
  </si>
  <si>
    <t>Akar masalah</t>
  </si>
  <si>
    <t>Risiko terkait</t>
  </si>
  <si>
    <t>Tindakan inti</t>
  </si>
  <si>
    <t>Kontrol Annex A utama</t>
  </si>
  <si>
    <t>Jumlah risiko</t>
  </si>
  <si>
    <t>Akses dan autentikasi</t>
  </si>
  <si>
    <t>Akun dan hak akses kurang terlindungi (tanpa MFA, hak akses luas, akun lama).</t>
  </si>
  <si>
    <t>R-02, R-04, R-12, R-18</t>
  </si>
  <si>
    <t>MFA wajib, hak akses minimum, tinjauan hak akses berkala, pemisahan tugas, pelatihan phishing.</t>
  </si>
  <si>
    <t>5.3, 5.15, 5.18, 8.2, 8.5, 6.3</t>
  </si>
  <si>
    <t>Kode dan pipeline</t>
  </si>
  <si>
    <t>Akses repositori dan pengelolaan secret lemah.</t>
  </si>
  <si>
    <t>R-05, R-06, R-07</t>
  </si>
  <si>
    <t>Secrets manager dan secret scanning, MFA repositori, branch protection dan review wajib, pencabutan akun lama.</t>
  </si>
  <si>
    <t>8.4, 8.24, 5.17, 8.32, 5.18, 8.5</t>
  </si>
  <si>
    <t>Keamanan aplikasi dan API</t>
  </si>
  <si>
    <t>Kontrol keamanan saat pengembangan aplikasi dan API belum memadai.</t>
  </si>
  <si>
    <t>R-01, R-11</t>
  </si>
  <si>
    <t>Secure coding, query berparameter, pengujian otorisasi per objek, SAST dan pentest, manajemen patch.</t>
  </si>
  <si>
    <t>Ketahanan layanan dan data</t>
  </si>
  <si>
    <t>Ketahanan terhadap serangan ketersediaan dan pemulihan data belum teruji.</t>
  </si>
  <si>
    <t>R-10, R-15</t>
  </si>
  <si>
    <t>Rate limiting dan proteksi DDoS, backup terisolasi yang diuji, rencana pemulihan, asuransi siber.</t>
  </si>
  <si>
    <t>8.6, 8.20, 8.21, 8.13, 5.30</t>
  </si>
  <si>
    <t>Konfigurasi cloud</t>
  </si>
  <si>
    <t>Baseline konfigurasi cloud tidak dijaga otomatis.</t>
  </si>
  <si>
    <t>Blok akses publik, enkripsi at-rest, pemindaian konfigurasi dengan alert.</t>
  </si>
  <si>
    <t>8.9, 8.3, 8.24, 5.23</t>
  </si>
  <si>
    <t>Pihak ketiga</t>
  </si>
  <si>
    <t>Vendor pemroses data pribadi belum dinilai dan kontraknya belum memuat syarat keamanan.</t>
  </si>
  <si>
    <t>Penilaian vendor, klausul keamanan dan notifikasi insiden, batas retensi data, ganti rugi kontraktual.</t>
  </si>
  <si>
    <t>Pemantauan dan log</t>
  </si>
  <si>
    <t>Log tidak memadai, padahal dibutuhkan semua kontrol deteksi.</t>
  </si>
  <si>
    <t>Retensi log, perlindungan integritas log, alerting kejadian kritis.</t>
  </si>
  <si>
    <t>Kriteria Risiko LumiPay (rujukan penilaian)</t>
  </si>
  <si>
    <t>Sel biru adalah parameter yang boleh diubah. Seluruh sheet lain membaca nilainya dari sini.</t>
  </si>
  <si>
    <t>Batas atas level Rendah (skor)</t>
  </si>
  <si>
    <t>Batas atas level Sedang (skor)</t>
  </si>
  <si>
    <t>Batas atas level Tinggi (skor)</t>
  </si>
  <si>
    <t>Batas penerimaan risiko (skor)</t>
  </si>
  <si>
    <t>Skor di atas batas Tinggi (16) masuk level Kritis (20 sampai 25). Batas penerimaan LumiPay sama dengan batas atas level Sedang.</t>
  </si>
  <si>
    <t>Matriks risiko: kemungkinan x dampak</t>
  </si>
  <si>
    <t>Kemungkinan \ Dampak</t>
  </si>
  <si>
    <t>Warna matriks memakai batas tetap 4, 9, dan 16 (sama dengan parameter di atas). Jika parameter diubah, sesuaikan aturan warnanya.</t>
  </si>
  <si>
    <t>Ringkasan Hasil Analisis</t>
  </si>
  <si>
    <t>Rendah</t>
  </si>
  <si>
    <t>Sedang</t>
  </si>
  <si>
    <t>Tinggi</t>
  </si>
  <si>
    <t>Kritis</t>
  </si>
  <si>
    <t>Total risiko</t>
  </si>
  <si>
    <t>Perlu ditangani (di atas batas penerimaan)</t>
  </si>
  <si>
    <t>Skor tertinggi</t>
  </si>
  <si>
    <t>Penanganan risiko (langkah 5)</t>
  </si>
  <si>
    <t>Risiko dimitigasi (termasuk mitigasi dan transfer)</t>
  </si>
  <si>
    <t>Risiko diterima</t>
  </si>
  <si>
    <t>Risiko sisa di atas batas penerimaan</t>
  </si>
  <si>
    <t>Skor sisa tertinggi</t>
  </si>
  <si>
    <t>Jumlah kelompok penanganan</t>
  </si>
  <si>
    <t>Cek Annex A dan SoA (langkah 6)</t>
  </si>
  <si>
    <t>Total kontrol dinilai</t>
  </si>
  <si>
    <t>Kontrol berlaku</t>
  </si>
  <si>
    <t>Kontrol tidak berlaku</t>
  </si>
  <si>
    <t>Berlaku karena dipilih dari risiko</t>
  </si>
  <si>
    <t>Berlaku karena hukum, kontrak, ISO, atau praktik dasar</t>
  </si>
  <si>
    <t>Status Sudah diterapkan</t>
  </si>
  <si>
    <t>Status Sebagian</t>
  </si>
  <si>
    <t>Status Terencana</t>
  </si>
  <si>
    <t>Status Belum</t>
  </si>
  <si>
    <t>Baris pemetaan risiko ke kontrol</t>
  </si>
  <si>
    <t>Kontrol dengan cek konsistensi bermasalah</t>
  </si>
  <si>
    <t>Bukti tersedia: Ada</t>
  </si>
  <si>
    <t>Bukti tersedia: Sebagian</t>
  </si>
  <si>
    <t>Bukti tersedia: Belum ada</t>
  </si>
  <si>
    <t>Risiko dimitigasi tanpa satu pun kontrol di pemetaan</t>
  </si>
  <si>
    <t>Pemetaan Risiko ke Kontrol Annex A (langkah 6)</t>
  </si>
  <si>
    <t>Lembar kerja pendukung SoA. Setiap baris menghubungkan satu risiko dengan satu kontrol Annex A yang dipilih di rencana penanganan (langkah 5), diambil dari kolom Kontrol Annex A 2022 di sheet Penanganan.
Satu risiko bisa muncul di beberapa baris, dan satu kontrol juga bisa muncul di beberapa baris (hubungan banyak ke banyak). Risiko berstatus Terima tidak muncul di sini karena tidak punya kontrol tambahan.
Sheet SoA memakai tabel ini untuk menghitung jumlah risiko per kontrol. Pengecekan konsistensinya dilakukan di SoA, bukan di sini.
Catatan: tabel ini berisi nilai tetap, bukan rumus. Kalau kolom Kontrol di sheet Penanganan diubah, baris di sini harus diperbarui manual.</t>
  </si>
  <si>
    <t>Risiko</t>
  </si>
  <si>
    <t>Kontrol</t>
  </si>
  <si>
    <t>Nama kontrol</t>
  </si>
  <si>
    <t>8.26</t>
  </si>
  <si>
    <t>8.28</t>
  </si>
  <si>
    <t>8.29</t>
  </si>
  <si>
    <t>8.8</t>
  </si>
  <si>
    <t>5.15</t>
  </si>
  <si>
    <t>5.18</t>
  </si>
  <si>
    <t>8.2</t>
  </si>
  <si>
    <t>8.3</t>
  </si>
  <si>
    <t>8.5</t>
  </si>
  <si>
    <t>8.15</t>
  </si>
  <si>
    <t>8.9</t>
  </si>
  <si>
    <t>8.24</t>
  </si>
  <si>
    <t>8.16</t>
  </si>
  <si>
    <t>5.23</t>
  </si>
  <si>
    <t>5.3</t>
  </si>
  <si>
    <t>5.17</t>
  </si>
  <si>
    <t>8.4</t>
  </si>
  <si>
    <t>8.32</t>
  </si>
  <si>
    <t>8.25</t>
  </si>
  <si>
    <t>8.6</t>
  </si>
  <si>
    <t>8.20</t>
  </si>
  <si>
    <t>8.21</t>
  </si>
  <si>
    <t>8.13</t>
  </si>
  <si>
    <t>8.7</t>
  </si>
  <si>
    <t>5.30</t>
  </si>
  <si>
    <t>8.14</t>
  </si>
  <si>
    <t>5.29</t>
  </si>
  <si>
    <t>6.3</t>
  </si>
  <si>
    <t>8.23</t>
  </si>
  <si>
    <t>6.8</t>
  </si>
  <si>
    <t>5.19</t>
  </si>
  <si>
    <t>5.20</t>
  </si>
  <si>
    <t>5.22</t>
  </si>
  <si>
    <t>5.34</t>
  </si>
  <si>
    <t>Statement of Applicability (SoA) LumiPay v1.0 (14 Okt 2026) (langkah 6)</t>
  </si>
  <si>
    <t>Seluruh 93 kontrol ISO/IEC 27001:2022 Annex A dinilai satu per satu: berlaku atau tidak, dasarnya, alasannya, dan status penerapan. Status dan ketersediaan bukti adalah asumsi dummy untuk portofolio.</t>
  </si>
  <si>
    <t>Tanggal acuan penanganan</t>
  </si>
  <si>
    <t>Dasar pemilihan: Risiko = dipilih dari rencana penanganan; Hukum dan kontrak; Persyaratan ISO 27001; Praktik dasar; Tidak berlaku.</t>
  </si>
  <si>
    <t>Tanggal pemeriksaan SoA</t>
  </si>
  <si>
    <t>Ubah ke tanggal pemeriksaan sebenarnya (atau isi =TODAY()). Aturan cek konsistensi ada di bawah tabel.</t>
  </si>
  <si>
    <t>No</t>
  </si>
  <si>
    <t>Tema</t>
  </si>
  <si>
    <t>Berlaku</t>
  </si>
  <si>
    <t>Dasar pemilihan</t>
  </si>
  <si>
    <t>Jml risiko</t>
  </si>
  <si>
    <t>Justifikasi</t>
  </si>
  <si>
    <t>Status penerapan</t>
  </si>
  <si>
    <t>Target</t>
  </si>
  <si>
    <t>Bukti yang diharapkan</t>
  </si>
  <si>
    <t>Bukti tersedia</t>
  </si>
  <si>
    <t>Cek konsistensi</t>
  </si>
  <si>
    <t>5.1</t>
  </si>
  <si>
    <t>Organisasi</t>
  </si>
  <si>
    <t>Policies for information security</t>
  </si>
  <si>
    <t>Ya</t>
  </si>
  <si>
    <t>Persyaratan ISO 27001</t>
  </si>
  <si>
    <t>Kebijakan keamanan informasi wajib ada (Klausul 5.2) dan disetujui manajemen.</t>
  </si>
  <si>
    <t>Sebagian</t>
  </si>
  <si>
    <t>Dokumen kebijakan keamanan informasi dan bukti persetujuan manajemen</t>
  </si>
  <si>
    <t>5.2</t>
  </si>
  <si>
    <t>Roles and responsibilities</t>
  </si>
  <si>
    <t>Peran dan tanggung jawab keamanan informasi harus ditetapkan (Klausul 5.3).</t>
  </si>
  <si>
    <t>Matriks peran dan tanggung jawab, surat penugasan</t>
  </si>
  <si>
    <t>Segregation of duties</t>
  </si>
  <si>
    <t>Pemisahan tugas pengubah dan penyetuju data ledger.</t>
  </si>
  <si>
    <t>Terencana</t>
  </si>
  <si>
    <t>Matriks pemisahan tugas, log persetujuan perubahan ledger</t>
  </si>
  <si>
    <t>Belum ada</t>
  </si>
  <si>
    <t>5.4</t>
  </si>
  <si>
    <t>Management responsibilities</t>
  </si>
  <si>
    <t>Manajemen wajib menunjukkan komitmen dan mewajibkan karyawan menerapkan kebijakan (Klausul 5.1).</t>
  </si>
  <si>
    <t>Notulen tinjauan manajemen, komunikasi kebijakan dari direksi</t>
  </si>
  <si>
    <t>5.5</t>
  </si>
  <si>
    <t>Contact with authorities</t>
  </si>
  <si>
    <t>Hukum dan kontrak</t>
  </si>
  <si>
    <t>Insiden pada penyelenggara jasa pembayaran dan data pribadi harus dilaporkan ke otoritas (Bank Indonesia, otoritas PDP) dan bank mitra.</t>
  </si>
  <si>
    <t>Daftar kontak otoritas dan bank mitra, prosedur pelaporan</t>
  </si>
  <si>
    <t>5.6</t>
  </si>
  <si>
    <t>Contact with special interest groups</t>
  </si>
  <si>
    <t>Tidak</t>
  </si>
  <si>
    <t>Tidak berlaku</t>
  </si>
  <si>
    <t>Keanggotaan kelompok minat khusus bersifat opsional dan tidak dibutuhkan untuk mengendalikan risiko R-01 sampai R-22. Ancaman terkini dipantau lewat 8.16.</t>
  </si>
  <si>
    <t>Justifikasi tertulis pengecualian</t>
  </si>
  <si>
    <t>5.7</t>
  </si>
  <si>
    <t>Threat intelligence</t>
  </si>
  <si>
    <t>Belum diperlukan pada fase awal ISMS; informasi ancaman dari penyedia cloud dan sumber publik dipakai seperlunya.</t>
  </si>
  <si>
    <t>Justifikasi tertulis pengecualian, sumber informasi ancaman yang dipakai</t>
  </si>
  <si>
    <t>5.8</t>
  </si>
  <si>
    <t>Information security in project management</t>
  </si>
  <si>
    <t>Praktik dasar</t>
  </si>
  <si>
    <t>Isu internal: kontrol sering tertinggal dari rilis fitur. Keamanan perlu masuk ke setiap proyek dan rilis.</t>
  </si>
  <si>
    <t>Checklist keamanan pada proses proyek dan rilis</t>
  </si>
  <si>
    <t>5.9</t>
  </si>
  <si>
    <t>Inventory of information and other associated assets</t>
  </si>
  <si>
    <t>Inventaris aset A-01 sampai A-17 sudah dibuat dan menjadi dasar penilaian risiko.</t>
  </si>
  <si>
    <t>Sudah diterapkan</t>
  </si>
  <si>
    <t>Dokumen Asset Inventory A-01 sampai A-17</t>
  </si>
  <si>
    <t>Ada</t>
  </si>
  <si>
    <t>5.10</t>
  </si>
  <si>
    <t>Acceptable use of information and other associated assets</t>
  </si>
  <si>
    <t>Aturan penggunaan aset yang dapat diterima untuk karyawan dan perangkat kerja.</t>
  </si>
  <si>
    <t>Kebijakan penggunaan aset yang dapat diterima, tanda terima karyawan</t>
  </si>
  <si>
    <t>5.11</t>
  </si>
  <si>
    <t>Return of assets</t>
  </si>
  <si>
    <t>Aset dan akses dikembalikan atau dicabut saat karyawan keluar.</t>
  </si>
  <si>
    <t>Formulir serah terima aset, checklist offboarding</t>
  </si>
  <si>
    <t>5.12</t>
  </si>
  <si>
    <t>Classification of information</t>
  </si>
  <si>
    <t>Data pribadi (KTP, swafoto) dan data transaksi perlu diklasifikasi sesuai UU PDP.</t>
  </si>
  <si>
    <t>Skema klasifikasi data, daftar klasifikasi aset</t>
  </si>
  <si>
    <t>5.13</t>
  </si>
  <si>
    <t>Labelling of information</t>
  </si>
  <si>
    <t>Mayoritas informasi berbentuk digital dan dilindungi lewat klasifikasi (5.12) serta kontrol akses; pelabelan dokumen tidak dibutuhkan.</t>
  </si>
  <si>
    <t>Justifikasi tertulis pengecualian, skema klasifikasi (5.12)</t>
  </si>
  <si>
    <t>5.14</t>
  </si>
  <si>
    <t>Information transfer</t>
  </si>
  <si>
    <t>Pertukaran data transaksi dengan bank mitra, jaringan QRIS, dan vendor lewat API.</t>
  </si>
  <si>
    <t>Perjanjian pertukaran data dengan bank mitra, konfigurasi enkripsi API</t>
  </si>
  <si>
    <t>Access control</t>
  </si>
  <si>
    <t>Akses ke data KYC berbasis peran.</t>
  </si>
  <si>
    <t>Kebijakan kontrol akses, matriks peran akses</t>
  </si>
  <si>
    <t>5.16</t>
  </si>
  <si>
    <t>Identity management</t>
  </si>
  <si>
    <t>Siklus hidup identitas pengguna internal, termasuk pencabutan akun mantan karyawan.</t>
  </si>
  <si>
    <t>Prosedur pembuatan dan penonaktifan akun, daftar akun aktif</t>
  </si>
  <si>
    <t>Authentication information</t>
  </si>
  <si>
    <t>R-05, R-12</t>
  </si>
  <si>
    <t>Pengelolaan kredensial: secret dan kata sandi.</t>
  </si>
  <si>
    <t>Kebijakan kata sandi dan kredensial, konfigurasi secrets manager</t>
  </si>
  <si>
    <t>Access rights</t>
  </si>
  <si>
    <t>R-02, R-06, R-07</t>
  </si>
  <si>
    <t>Hak akses data KYC dan repositori ditinjau dan dicabut.</t>
  </si>
  <si>
    <t>Laporan tinjauan hak akses berkala, tiket pencabutan akses</t>
  </si>
  <si>
    <t>Information security in supplier relationships</t>
  </si>
  <si>
    <t>Pengawasan keamanan vendor KYC.</t>
  </si>
  <si>
    <t>Hasil penilaian keamanan vendor, daftar vendor</t>
  </si>
  <si>
    <t>Addressing information security within supplier agreements</t>
  </si>
  <si>
    <t>Klausul keamanan dan notifikasi insiden di kontrak vendor.</t>
  </si>
  <si>
    <t>Kontrak vendor dengan klausul keamanan dan notifikasi insiden</t>
  </si>
  <si>
    <t>5.21</t>
  </si>
  <si>
    <t>Managing information security in the ICT supply chain</t>
  </si>
  <si>
    <t>Rantai pasok TIK: layanan cloud dan pustaka perangkat lunak pihak ketiga.</t>
  </si>
  <si>
    <t>Daftar dependensi pihak ketiga, hasil pemindaian komponen</t>
  </si>
  <si>
    <t>Monitoring, review and change management of supplier services</t>
  </si>
  <si>
    <t>Pemantauan berkala layanan vendor.</t>
  </si>
  <si>
    <t>Laporan tinjauan layanan vendor berkala</t>
  </si>
  <si>
    <t>Information security for use of cloud services</t>
  </si>
  <si>
    <t>Konfigurasi dan penggunaan layanan cloud yang aman.</t>
  </si>
  <si>
    <t>Kebijakan penggunaan cloud, laporan baseline konfigurasi cloud</t>
  </si>
  <si>
    <t>5.24</t>
  </si>
  <si>
    <t>Information security incident management planning and preparation</t>
  </si>
  <si>
    <t>Bank mitra mensyaratkan laporan insiden tepat waktu; perlu rencana dan peran penanganan insiden.</t>
  </si>
  <si>
    <t>Rencana dan prosedur penanganan insiden, daftar peran</t>
  </si>
  <si>
    <t>5.25</t>
  </si>
  <si>
    <t>Assessment and decision on information security events</t>
  </si>
  <si>
    <t>Kejadian keamanan harus dinilai untuk menentukan apakah menjadi insiden yang wajib dilaporkan.</t>
  </si>
  <si>
    <t>Kriteria klasifikasi insiden, catatan penilaian kejadian</t>
  </si>
  <si>
    <t>5.26</t>
  </si>
  <si>
    <t>Response to information security incidents</t>
  </si>
  <si>
    <t>Respons insiden mengikuti prosedur dan kewajiban pelaporan ke bank mitra dan otoritas.</t>
  </si>
  <si>
    <t>Catatan respons insiden, laporan ke bank mitra dan otoritas</t>
  </si>
  <si>
    <t>5.27</t>
  </si>
  <si>
    <t>Learning from information security incidents</t>
  </si>
  <si>
    <t>Pelajaran dari insiden dipakai memperbarui risiko dan kontrol.</t>
  </si>
  <si>
    <t>Laporan pasca-insiden dan tindak lanjut</t>
  </si>
  <si>
    <t>5.28</t>
  </si>
  <si>
    <t>Collection of evidence</t>
  </si>
  <si>
    <t>Pengumpulan bukti untuk investigasi dan pelaporan ke pihak berwenang.</t>
  </si>
  <si>
    <t>Prosedur pengumpulan bukti digital, catatan rantai bukti</t>
  </si>
  <si>
    <t>Information security during disruption</t>
  </si>
  <si>
    <t>Keamanan informasi saat gangguan (ransomware).</t>
  </si>
  <si>
    <t>Rencana pemulihan, hasil uji pemulihan</t>
  </si>
  <si>
    <t>ICT readiness for business continuity</t>
  </si>
  <si>
    <t>Kesiapan TIK untuk kelangsungan layanan.</t>
  </si>
  <si>
    <t>Rencana kelangsungan layanan, hasil uji failover dan target waktu pemulihan</t>
  </si>
  <si>
    <t>5.31</t>
  </si>
  <si>
    <t>Legal, statutory, regulatory and contractual requirements</t>
  </si>
  <si>
    <t>Kewajiban hukum: UU PDP, ketentuan Bank Indonesia, perjanjian dengan bank mitra.</t>
  </si>
  <si>
    <t>Belum</t>
  </si>
  <si>
    <t>Daftar persyaratan hukum dan kontrak (legal register), laporan kepatuhan</t>
  </si>
  <si>
    <t>5.32</t>
  </si>
  <si>
    <t>Intellectual property rights</t>
  </si>
  <si>
    <t>Lisensi perangkat lunak dan pustaka sumber terbuka yang dipakai tim engineering.</t>
  </si>
  <si>
    <t>Daftar lisensi perangkat lunak dan pustaka sumber terbuka</t>
  </si>
  <si>
    <t>5.33</t>
  </si>
  <si>
    <t>Protection of records</t>
  </si>
  <si>
    <t>Catatan transaksi dan log harus dijaga dan disimpan sesuai kewajiban retensi.</t>
  </si>
  <si>
    <t>Jadwal retensi catatan, bukti penyimpanan log dan catatan transaksi</t>
  </si>
  <si>
    <t>Privacy and protection of PII</t>
  </si>
  <si>
    <t>Pelindungan data pribadi KYC di vendor, termasuk batas retensi.</t>
  </si>
  <si>
    <t>Kebijakan pelindungan data pribadi, catatan pemrosesan data, perjanjian pemrosesan data dengan vendor</t>
  </si>
  <si>
    <t>5.35</t>
  </si>
  <si>
    <t>Independent review of information security</t>
  </si>
  <si>
    <t>Tinjauan independen lewat audit internal ISMS (Klausul 9.2).</t>
  </si>
  <si>
    <t>Program dan laporan audit internal ISMS</t>
  </si>
  <si>
    <t>5.36</t>
  </si>
  <si>
    <t>Compliance with policies, rules and standards for information security</t>
  </si>
  <si>
    <t>Kepatuhan terhadap kebijakan dilaporkan dalam tinjauan manajemen (Klausul 9.3).</t>
  </si>
  <si>
    <t>Laporan kepatuhan kebijakan, bahan tinjauan manajemen</t>
  </si>
  <si>
    <t>5.37</t>
  </si>
  <si>
    <t>Documented operating procedures</t>
  </si>
  <si>
    <t>Prosedur operasi (rilis, akses produksi, backup) harus terdokumentasi.</t>
  </si>
  <si>
    <t>Prosedur operasi terdokumentasi (rilis, akses produksi, backup)</t>
  </si>
  <si>
    <t>6.1</t>
  </si>
  <si>
    <t>Manusia</t>
  </si>
  <si>
    <t>Screening</t>
  </si>
  <si>
    <t>Verifikasi latar belakang karyawan yang mengakses data KYC dan lingkungan produksi.</t>
  </si>
  <si>
    <t>Kebijakan screening, hasil pemeriksaan latar belakang</t>
  </si>
  <si>
    <t>6.2</t>
  </si>
  <si>
    <t>Terms and conditions of employment</t>
  </si>
  <si>
    <t>Kontrak kerja memuat tanggung jawab keamanan informasi.</t>
  </si>
  <si>
    <t>Kontrak kerja dengan klausul keamanan informasi</t>
  </si>
  <si>
    <t>Information security awareness, education and training</t>
  </si>
  <si>
    <t>Pelatihan dan simulasi phishing.</t>
  </si>
  <si>
    <t>Materi dan daftar hadir pelatihan, hasil simulasi phishing</t>
  </si>
  <si>
    <t>6.4</t>
  </si>
  <si>
    <t>Disciplinary process</t>
  </si>
  <si>
    <t>Proses disipliner untuk pelanggaran kebijakan keamanan.</t>
  </si>
  <si>
    <t>Kebijakan sanksi disiplin</t>
  </si>
  <si>
    <t>6.5</t>
  </si>
  <si>
    <t>Responsibilities after termination or change of employment</t>
  </si>
  <si>
    <t>Tanggung jawab dan pencabutan akses setelah karyawan keluar atau berpindah peran.</t>
  </si>
  <si>
    <t>Checklist offboarding, bukti pencabutan akses</t>
  </si>
  <si>
    <t>6.6</t>
  </si>
  <si>
    <t>Confidentiality or non-disclosure agreements</t>
  </si>
  <si>
    <t>Perjanjian kerahasiaan untuk karyawan dan pihak ketiga yang menyentuh data pengguna.</t>
  </si>
  <si>
    <t>Perjanjian kerahasiaan yang ditandatangani</t>
  </si>
  <si>
    <t>6.7</t>
  </si>
  <si>
    <t>Remote working</t>
  </si>
  <si>
    <t>Karyawan, terutama engineering, bekerja dengan perangkat portabel di luar kantor.</t>
  </si>
  <si>
    <t>Kebijakan kerja jarak jauh, konfigurasi VPN dan perangkat</t>
  </si>
  <si>
    <t>Information security event reporting</t>
  </si>
  <si>
    <t>Jalur pelaporan email mencurigakan.</t>
  </si>
  <si>
    <t>Prosedur dan saluran pelaporan, catatan laporan masuk</t>
  </si>
  <si>
    <t>7.1</t>
  </si>
  <si>
    <t>Fisik</t>
  </si>
  <si>
    <t>Physical security perimeters</t>
  </si>
  <si>
    <t>Batas fisik kantor pusat Surabaya.</t>
  </si>
  <si>
    <t>Denah dan pengamanan perimeter kantor Surabaya</t>
  </si>
  <si>
    <t>7.2</t>
  </si>
  <si>
    <t>Physical entry</t>
  </si>
  <si>
    <t>Kontrol masuk ke kantor pusat.</t>
  </si>
  <si>
    <t>Log akses masuk, daftar kartu akses</t>
  </si>
  <si>
    <t>7.3</t>
  </si>
  <si>
    <t>Securing offices, rooms and facilities</t>
  </si>
  <si>
    <t>Pengamanan ruang kerja dan ruang perangkat di kantor pusat.</t>
  </si>
  <si>
    <t>Bukti pengamanan ruang kerja dan ruang perangkat</t>
  </si>
  <si>
    <t>7.4</t>
  </si>
  <si>
    <t>Physical security monitoring</t>
  </si>
  <si>
    <t>Pemantauan fisik kantor (CCTV dan akses).</t>
  </si>
  <si>
    <t>Rekaman CCTV, log pemantauan</t>
  </si>
  <si>
    <t>7.5</t>
  </si>
  <si>
    <t>Protecting against physical and environmental threats</t>
  </si>
  <si>
    <t>Perlindungan kantor dari kebakaran dan ancaman lingkungan.</t>
  </si>
  <si>
    <t>Bukti alat pemadam dan proteksi kebakaran</t>
  </si>
  <si>
    <t>7.6</t>
  </si>
  <si>
    <t>Working in secure areas</t>
  </si>
  <si>
    <t>Tidak ada area aman khusus di kantor; sistem produksi berada di cloud dan keamanan fisiknya ditangani penyedia cloud.</t>
  </si>
  <si>
    <t>Justifikasi tertulis pengecualian, diagram arsitektur sistem produksi</t>
  </si>
  <si>
    <t>7.7</t>
  </si>
  <si>
    <t>Clear desk and clear screen</t>
  </si>
  <si>
    <t>Meja dan layar bersih agar dokumen dan sesi kerja tidak terlihat orang lain.</t>
  </si>
  <si>
    <t>Kebijakan clear desk dan clear screen, hasil inspeksi</t>
  </si>
  <si>
    <t>7.8</t>
  </si>
  <si>
    <t>Equipment siting and protection</t>
  </si>
  <si>
    <t>Penempatan dan perlindungan perangkat kantor.</t>
  </si>
  <si>
    <t>Bukti penempatan dan perlindungan perangkat kantor</t>
  </si>
  <si>
    <t>7.9</t>
  </si>
  <si>
    <t>Security of assets off-premises</t>
  </si>
  <si>
    <t>Seluruh sistem produksi berada di cloud sehingga tidak ada aset sensitif di luar lokasi.</t>
  </si>
  <si>
    <t>Justifikasi tertulis pengecualian, diagram arsitektur sistem</t>
  </si>
  <si>
    <t>7.10</t>
  </si>
  <si>
    <t>Storage media</t>
  </si>
  <si>
    <t>Media penyimpanan yang dibawa atau dipakai karyawan.</t>
  </si>
  <si>
    <t>Prosedur penggunaan media penyimpanan</t>
  </si>
  <si>
    <t>7.11</t>
  </si>
  <si>
    <t>Supporting utilities</t>
  </si>
  <si>
    <t>Utilitas pendukung server produksi (listrik, pendingin) dikelola penyedia cloud.</t>
  </si>
  <si>
    <t>Justifikasi tertulis pengecualian, laporan kepatuhan penyedia cloud</t>
  </si>
  <si>
    <t>7.12</t>
  </si>
  <si>
    <t>Cabling security</t>
  </si>
  <si>
    <t>Kabel jaringan data center produksi dikelola penyedia cloud; kantor tidak menjalankan sistem produksi.</t>
  </si>
  <si>
    <t>7.13</t>
  </si>
  <si>
    <t>Equipment maintenance</t>
  </si>
  <si>
    <t>Pemeliharaan perangkat kantor.</t>
  </si>
  <si>
    <t>Catatan pemeliharaan perangkat</t>
  </si>
  <si>
    <t>7.14</t>
  </si>
  <si>
    <t>Secure disposal or re-use of equipment</t>
  </si>
  <si>
    <t>Pembuangan atau penggunaan ulang laptop harus menghapus data KYC dan data kerja.</t>
  </si>
  <si>
    <t>Catatan penghapusan data dan pembuangan perangkat</t>
  </si>
  <si>
    <t>8.1</t>
  </si>
  <si>
    <t>Teknologi</t>
  </si>
  <si>
    <t>User endpoint devices</t>
  </si>
  <si>
    <t>Laptop karyawan menyimpan data kerja. Enkripsi disk belum dijalankan (lihat R-17 yang diterima).</t>
  </si>
  <si>
    <t>Daftar perangkat, konfigurasi MDM dan enkripsi disk</t>
  </si>
  <si>
    <t>Privileged access rights</t>
  </si>
  <si>
    <t>R-02, R-04</t>
  </si>
  <si>
    <t>Hak akses istimewa dibatasi.</t>
  </si>
  <si>
    <t>Daftar akun berhak istimewa, log penggunaan</t>
  </si>
  <si>
    <t>Information access restriction</t>
  </si>
  <si>
    <t>R-02, R-03, R-04, R-06, R-11</t>
  </si>
  <si>
    <t>Pembatasan akses informasi (data KYC, storage, repositori, API).</t>
  </si>
  <si>
    <t>Matriks hak akses, konfigurasi akses storage dan database</t>
  </si>
  <si>
    <t>Access to source code</t>
  </si>
  <si>
    <t>Akses kode sumber dan repositori.</t>
  </si>
  <si>
    <t>Konfigurasi akses repositori, daftar anggota dan peran</t>
  </si>
  <si>
    <t>Secure authentication</t>
  </si>
  <si>
    <t>R-02, R-06, R-07, R-12, R-18</t>
  </si>
  <si>
    <t>MFA dan autentikasi aman.</t>
  </si>
  <si>
    <t>Konfigurasi MFA, laporan cakupan MFA</t>
  </si>
  <si>
    <t>Capacity management</t>
  </si>
  <si>
    <t>Kapasitas dan lonjakan trafik (DDoS).</t>
  </si>
  <si>
    <t>Laporan kapasitas, hasil uji beban</t>
  </si>
  <si>
    <t>Protection against malware</t>
  </si>
  <si>
    <t>R-15, R-18</t>
  </si>
  <si>
    <t>Proteksi malware dan ransomware.</t>
  </si>
  <si>
    <t>Bukti agen proteksi endpoint, laporan deteksi</t>
  </si>
  <si>
    <t>Management of technical vulnerabilities</t>
  </si>
  <si>
    <t>Patch kerentanan teknis.</t>
  </si>
  <si>
    <t>Laporan pemindaian kerentanan, catatan patching</t>
  </si>
  <si>
    <t>Configuration management</t>
  </si>
  <si>
    <t>Baseline konfigurasi cloud.</t>
  </si>
  <si>
    <t>Baseline konfigurasi, hasil pemindaian konfigurasi</t>
  </si>
  <si>
    <t>8.10</t>
  </si>
  <si>
    <t>Information deletion</t>
  </si>
  <si>
    <t>UU PDP: data pribadi dihapus bila tidak lagi dibutuhkan; batas retensi perlu ditegakkan.</t>
  </si>
  <si>
    <t>Jadwal retensi, bukti penghapusan data</t>
  </si>
  <si>
    <t>8.11</t>
  </si>
  <si>
    <t>Data masking</t>
  </si>
  <si>
    <t>Menutupi sebagian data KTP dan nomor di dasbor, log, dan lingkungan non-produksi (UU PDP, minimisasi data).</t>
  </si>
  <si>
    <t>Contoh data tertutup di dasbor, log, dan lingkungan uji</t>
  </si>
  <si>
    <t>8.12</t>
  </si>
  <si>
    <t>Data leakage prevention</t>
  </si>
  <si>
    <t>Risiko kebocoran data sudah ditangani lewat pembatasan akses (8.3) dan pemantauan akses (8.15, 8.16); alat DLP khusus belum dinilai perlu.</t>
  </si>
  <si>
    <t>Justifikasi tertulis pengecualian, bukti kontrol 8.3 dan 8.15</t>
  </si>
  <si>
    <t>Information backup</t>
  </si>
  <si>
    <t>Backup terisolasi dan uji pemulihan.</t>
  </si>
  <si>
    <t>Jadwal backup, hasil uji pemulihan</t>
  </si>
  <si>
    <t>Redundancy of information processing facilities</t>
  </si>
  <si>
    <t>Redundansi untuk ketersediaan layanan.</t>
  </si>
  <si>
    <t>Diagram redundansi, hasil uji failover</t>
  </si>
  <si>
    <t>Logging</t>
  </si>
  <si>
    <t>R-02, R-04, R-13</t>
  </si>
  <si>
    <t>Pencatatan log akses dan perubahan.</t>
  </si>
  <si>
    <t>Konfigurasi log, bukti retensi dan integritas log</t>
  </si>
  <si>
    <t>Monitoring activities</t>
  </si>
  <si>
    <t>R-03, R-10, R-11, R-12, R-13</t>
  </si>
  <si>
    <t>Pemantauan aktivitas tidak wajar.</t>
  </si>
  <si>
    <t>Aturan alert, catatan penanganan alert</t>
  </si>
  <si>
    <t>8.17</t>
  </si>
  <si>
    <t>Clock synchronization</t>
  </si>
  <si>
    <t>Sinkronisasi waktu server agar log dari banyak layanan bisa dikorelasikan (mendukung 8.15).</t>
  </si>
  <si>
    <t>Konfigurasi sinkronisasi waktu (NTP) server</t>
  </si>
  <si>
    <t>8.18</t>
  </si>
  <si>
    <t>Use of privileged utility programs</t>
  </si>
  <si>
    <t>Utilitas berhak istimewa (akses langsung ke database, konsol cloud) harus dibatasi.</t>
  </si>
  <si>
    <t>Daftar utilitas berhak istimewa dan pembatasannya</t>
  </si>
  <si>
    <t>8.19</t>
  </si>
  <si>
    <t>Installation of software on operational systems</t>
  </si>
  <si>
    <t>Pemasangan perangkat lunak di server produksi hanya lewat proses rilis.</t>
  </si>
  <si>
    <t>Prosedur dan log instalasi perangkat lunak di produksi</t>
  </si>
  <si>
    <t>Networks security</t>
  </si>
  <si>
    <t>Keamanan jaringan terhadap DDoS.</t>
  </si>
  <si>
    <t>Konfigurasi firewall dan proteksi DDoS</t>
  </si>
  <si>
    <t>Security of network services</t>
  </si>
  <si>
    <t>Keamanan layanan jaringan (proteksi DDoS penyedia).</t>
  </si>
  <si>
    <t>Perjanjian layanan jaringan, konfigurasi rate limiting</t>
  </si>
  <si>
    <t>8.22</t>
  </si>
  <si>
    <t>Segregation of networks</t>
  </si>
  <si>
    <t>Pemisahan jaringan kantor dari lingkungan produksi dan antar layanan microservices.</t>
  </si>
  <si>
    <t>Diagram segmentasi jaringan, aturan firewall</t>
  </si>
  <si>
    <t>Web filtering</t>
  </si>
  <si>
    <t>Penyaringan web dan email.</t>
  </si>
  <si>
    <t>Konfigurasi filter web dan email</t>
  </si>
  <si>
    <t>Use of cryptography</t>
  </si>
  <si>
    <t>R-03, R-05</t>
  </si>
  <si>
    <t>Enkripsi dan manajemen kunci.</t>
  </si>
  <si>
    <t>Kebijakan kriptografi, konfigurasi enkripsi dan manajemen kunci</t>
  </si>
  <si>
    <t>Secure development life cycle</t>
  </si>
  <si>
    <t>Siklus pengembangan aman.</t>
  </si>
  <si>
    <t>Prosedur siklus pengembangan aman, checklist rilis</t>
  </si>
  <si>
    <t>Application security requirements</t>
  </si>
  <si>
    <t>Persyaratan keamanan aplikasi dan API.</t>
  </si>
  <si>
    <t>Dokumen persyaratan keamanan, hasil review</t>
  </si>
  <si>
    <t>8.27</t>
  </si>
  <si>
    <t>Secure system architecture and engineering principles</t>
  </si>
  <si>
    <t>Prinsip arsitektur aman untuk microservices dan integrasi bank mitra.</t>
  </si>
  <si>
    <t>Dokumen arsitektur dan prinsip desain aman</t>
  </si>
  <si>
    <t>Secure coding</t>
  </si>
  <si>
    <t>R-01, R-05, R-11</t>
  </si>
  <si>
    <t>Praktik pengodean aman.</t>
  </si>
  <si>
    <t>Standar pengodean aman, hasil code review</t>
  </si>
  <si>
    <t>Security testing in development and acceptance</t>
  </si>
  <si>
    <t>Pengujian keamanan sebelum rilis.</t>
  </si>
  <si>
    <t>Laporan SAST dan pentest, tiket perbaikan</t>
  </si>
  <si>
    <t>8.30</t>
  </si>
  <si>
    <t>Outsourced development</t>
  </si>
  <si>
    <t>Pengembangan aplikasi dilakukan tim engineering internal; tidak ada pengembangan yang dialihdayakan.</t>
  </si>
  <si>
    <t>Justifikasi tertulis pengecualian, daftar tim pengembang internal</t>
  </si>
  <si>
    <t>8.31</t>
  </si>
  <si>
    <t>Separation of development, test and production environments</t>
  </si>
  <si>
    <t>Lingkungan pengembangan, uji, dan produksi dipisah.</t>
  </si>
  <si>
    <t>Diagram lingkungan, bukti pemisahan akses</t>
  </si>
  <si>
    <t>Change management</t>
  </si>
  <si>
    <t>Manajemen perubahan kode dan pipeline.</t>
  </si>
  <si>
    <t>Catatan permintaan perubahan dan persetujuan, konfigurasi branch protection</t>
  </si>
  <si>
    <t>8.33</t>
  </si>
  <si>
    <t>Test information</t>
  </si>
  <si>
    <t>Data pengguna nyata tidak dipakai di lingkungan uji tanpa perlindungan (UU PDP).</t>
  </si>
  <si>
    <t>Bukti pengaturan data uji</t>
  </si>
  <si>
    <t>8.34</t>
  </si>
  <si>
    <t>Protection of information systems during audit testing</t>
  </si>
  <si>
    <t>Pengujian keamanan dan audit tidak boleh mengganggu sistem produksi.</t>
  </si>
  <si>
    <t>Rencana dan persetujuan pengujian keamanan</t>
  </si>
  <si>
    <t>Aturan cek konsistensi (kolom Cek konsistensi)</t>
  </si>
  <si>
    <t>Kontrol Tidak berlaku tetapi masih terhubung ke risiko (Jml risiko &gt; 0): "Konflik: ada risiko terkait".</t>
  </si>
  <si>
    <t>Kontrol berlaku dengan dasar Risiko tetapi tidak ada risiko terkait: "Tidak ada risiko terkait".</t>
  </si>
  <si>
    <t>Kontrol berlaku tetapi status penerapan kosong ("-"): "Status kosong".</t>
  </si>
  <si>
    <t>Status Sudah diterapkan tetapi Bukti tersedia bukan "Ada": "Status Sudah tanpa bukti lengkap".</t>
  </si>
  <si>
    <t>Status Sebagian tetapi Bukti tersedia "Belum ada": "Status Sebagian tanpa bukti".</t>
  </si>
  <si>
    <t>Status Terencana tetapi Bukti tersedia "Ada" (bukti penerapan sudah ada, status seharusnya Sudah atau Sebagian): "Terencana tapi bukti sudah ada, cek statusnya".</t>
  </si>
  <si>
    <t>Status Terencana dan Target sudah lewat dari Tanggal pemeriksaan SoA (C5): "Target terlewat".</t>
  </si>
  <si>
    <t>Jika tidak ada aturan yang terpenuhi: "OK". OK hanya berarti tidak ada pertentangan antar kolom; kecukupan alasan dan mutu bukti tetap dinilai manusia (auditor).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</si>
</sst>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0000"/>
    <numFmt numFmtId="165" formatCode="yyyy\-mm\-dd"/>
    <numFmt numFmtId="166" formatCode="0&quot; Sangat sering&quot;"/>
    <numFmt numFmtId="167" formatCode="0&quot; Sering&quot;"/>
    <numFmt numFmtId="168" formatCode="0&quot; Mungkin&quot;"/>
    <numFmt numFmtId="169" formatCode="0&quot; Jarang&quot;"/>
    <numFmt numFmtId="170" formatCode="0&quot; Sangat jarang&quot;"/>
  </numFmts>
  <fonts count="9" x14ac:knownFonts="1">
    <font>
      <sz val="11"/>
      <color theme="1"/>
      <name val="Calibri"/>
      <family val="2"/>
      <charset val="1"/>
    </font>
    <font>
      <b/>
      <sz val="13"/>
      <name val="Arial"/>
      <charset val="1"/>
    </font>
    <font>
      <sz val="10"/>
      <name val="Arial"/>
      <charset val="1"/>
    </font>
    <font>
      <b/>
      <sz val="10"/>
      <color rgb="FFFFFFFF"/>
      <name val="Arial"/>
      <charset val="1"/>
    </font>
    <font>
      <sz val="10"/>
      <color rgb="FF0000FF"/>
      <name val="Arial"/>
      <charset val="1"/>
    </font>
    <font>
      <b/>
      <sz val="10"/>
      <name val="Arial"/>
      <charset val="1"/>
    </font>
    <font>
      <i/>
      <sz val="9"/>
      <name val="Arial"/>
      <charset val="1"/>
    </font>
    <font>
      <b/>
      <sz val="10"/>
      <color rgb="FF0000FF"/>
      <name val="Arial"/>
      <charset val="1"/>
    </font>
    <font>
      <b/>
      <sz val="11"/>
      <name val="Arial"/>
      <charset val="1"/>
    </font>
  </fonts>
  <fills count="4">
    <fill>
      <patternFill patternType="none"/>
    </fill>
    <fill>
      <patternFill patternType="gray125"/>
    </fill>
    <fill>
      <patternFill patternType="solid">
        <fgColor rgb="FF1F3864"/>
        <bgColor rgb="FF333333"/>
      </patternFill>
    </fill>
    <fill>
      <patternFill patternType="solid">
        <fgColor rgb="FFFFF2CC"/>
        <bgColor rgb="FFEDEDE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4">
    <xf numFmtId="0" fontId="0" fillId="0" borderId="0" xfId="0"/>
    <xf numFmtId="0" fontId="2" fillId="0" borderId="0" xfId="0" applyFont="1" applyAlignment="1">
      <alignment vertical="top" wrapText="1"/>
    </xf>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2" fillId="0" borderId="1" xfId="0" applyFont="1" applyBorder="1" applyAlignment="1">
      <alignment vertical="top" wrapText="1"/>
    </xf>
    <xf numFmtId="0" fontId="4" fillId="3" borderId="1" xfId="0" applyFont="1" applyFill="1" applyBorder="1" applyAlignment="1">
      <alignment horizontal="center" vertical="top" wrapText="1"/>
    </xf>
    <xf numFmtId="0" fontId="2" fillId="0" borderId="1" xfId="0" applyFont="1" applyBorder="1" applyAlignment="1">
      <alignment horizontal="center" vertical="top" wrapText="1"/>
    </xf>
    <xf numFmtId="0" fontId="5" fillId="0" borderId="1" xfId="0" applyFont="1" applyBorder="1" applyAlignment="1">
      <alignment horizontal="center" vertical="top" wrapText="1"/>
    </xf>
    <xf numFmtId="164" fontId="2" fillId="0" borderId="1" xfId="0" applyNumberFormat="1" applyFont="1" applyBorder="1" applyAlignment="1">
      <alignment horizontal="center" vertical="top" wrapText="1"/>
    </xf>
    <xf numFmtId="0" fontId="4" fillId="3" borderId="1" xfId="0" applyFont="1" applyFill="1" applyBorder="1" applyAlignment="1">
      <alignment horizontal="center"/>
    </xf>
    <xf numFmtId="0" fontId="6" fillId="0" borderId="0" xfId="0" applyFont="1"/>
    <xf numFmtId="165" fontId="4" fillId="3" borderId="1" xfId="0" applyNumberFormat="1" applyFont="1" applyFill="1" applyBorder="1" applyAlignment="1">
      <alignment horizontal="center"/>
    </xf>
    <xf numFmtId="165" fontId="2" fillId="0" borderId="1" xfId="0" applyNumberFormat="1" applyFont="1" applyBorder="1" applyAlignment="1">
      <alignment horizontal="center" vertical="top" wrapText="1"/>
    </xf>
    <xf numFmtId="0" fontId="4" fillId="3" borderId="1" xfId="0" applyFont="1" applyFill="1" applyBorder="1"/>
    <xf numFmtId="0" fontId="2" fillId="0" borderId="1" xfId="0" applyFont="1" applyBorder="1"/>
    <xf numFmtId="0" fontId="5" fillId="0" borderId="0" xfId="0" applyFont="1"/>
    <xf numFmtId="0" fontId="3" fillId="2" borderId="1" xfId="0" applyFont="1" applyFill="1" applyBorder="1" applyAlignment="1">
      <alignment horizontal="center" vertical="center"/>
    </xf>
    <xf numFmtId="166" fontId="5" fillId="0" borderId="1" xfId="0" applyNumberFormat="1" applyFont="1" applyBorder="1" applyAlignment="1">
      <alignment horizontal="left" vertical="center"/>
    </xf>
    <xf numFmtId="0" fontId="2" fillId="0" borderId="1" xfId="0" applyFont="1" applyBorder="1" applyAlignment="1">
      <alignment horizontal="center" vertical="center"/>
    </xf>
    <xf numFmtId="167" fontId="5" fillId="0" borderId="1" xfId="0" applyNumberFormat="1" applyFont="1" applyBorder="1" applyAlignment="1">
      <alignment horizontal="left" vertical="center"/>
    </xf>
    <xf numFmtId="168" fontId="5" fillId="0" borderId="1" xfId="0" applyNumberFormat="1" applyFont="1" applyBorder="1" applyAlignment="1">
      <alignment horizontal="left" vertical="center"/>
    </xf>
    <xf numFmtId="169" fontId="5" fillId="0" borderId="1" xfId="0" applyNumberFormat="1" applyFont="1" applyBorder="1" applyAlignment="1">
      <alignment horizontal="left" vertical="center"/>
    </xf>
    <xf numFmtId="170" fontId="5" fillId="0" borderId="1" xfId="0" applyNumberFormat="1" applyFont="1" applyBorder="1" applyAlignment="1">
      <alignment horizontal="left" vertical="center"/>
    </xf>
    <xf numFmtId="0" fontId="3" fillId="2" borderId="1" xfId="0" applyFont="1" applyFill="1" applyBorder="1" applyAlignment="1">
      <alignment horizontal="center"/>
    </xf>
    <xf numFmtId="0" fontId="5" fillId="0" borderId="1" xfId="0" applyFont="1" applyBorder="1"/>
    <xf numFmtId="0" fontId="3" fillId="2" borderId="1" xfId="0" applyFont="1" applyFill="1" applyBorder="1" applyAlignment="1">
      <alignment vertical="center" wrapText="1"/>
    </xf>
    <xf numFmtId="165" fontId="2" fillId="0" borderId="0" xfId="0" applyNumberFormat="1" applyFont="1"/>
    <xf numFmtId="165" fontId="4" fillId="3" borderId="0" xfId="0" applyNumberFormat="1" applyFont="1" applyFill="1"/>
    <xf numFmtId="0" fontId="7" fillId="0" borderId="1" xfId="0" applyFont="1" applyBorder="1" applyAlignment="1">
      <alignment vertical="top" wrapText="1"/>
    </xf>
    <xf numFmtId="0" fontId="4" fillId="0" borderId="1" xfId="0" applyFont="1" applyBorder="1" applyAlignment="1">
      <alignment vertical="top" wrapText="1"/>
    </xf>
    <xf numFmtId="165" fontId="2" fillId="0" borderId="1" xfId="0" applyNumberFormat="1" applyFont="1" applyBorder="1" applyAlignment="1">
      <alignment vertical="top" wrapText="1"/>
    </xf>
    <xf numFmtId="0" fontId="8" fillId="0" borderId="0" xfId="0" applyFont="1"/>
    <xf numFmtId="0" fontId="2" fillId="0" borderId="0" xfId="0" applyFont="1" applyAlignment="1">
      <alignment horizontal="left" vertical="top"/>
    </xf>
  </cellXfs>
  <cellStyles count="1">
    <cellStyle name="Normal" xfId="0" builtinId="0"/>
  </cellStyles>
  <dxfs count="22">
    <dxf>
      <fill>
        <patternFill>
          <bgColor rgb="FFFFC7CE"/>
        </patternFill>
      </fill>
    </dxf>
    <dxf>
      <fill>
        <patternFill>
          <bgColor rgb="FFEDEDED"/>
        </patternFill>
      </fill>
    </dxf>
    <dxf>
      <fill>
        <patternFill>
          <bgColor rgb="FFFF9999"/>
        </patternFill>
      </fill>
    </dxf>
    <dxf>
      <fill>
        <patternFill>
          <bgColor rgb="FFF8CBAD"/>
        </patternFill>
      </fill>
    </dxf>
    <dxf>
      <fill>
        <patternFill>
          <bgColor rgb="FFFFEB9C"/>
        </patternFill>
      </fill>
    </dxf>
    <dxf>
      <fill>
        <patternFill>
          <bgColor rgb="FFC6EFCE"/>
        </patternFill>
      </fill>
    </dxf>
    <dxf>
      <fill>
        <patternFill>
          <bgColor rgb="FFFF9999"/>
        </patternFill>
      </fill>
    </dxf>
    <dxf>
      <fill>
        <patternFill>
          <bgColor rgb="FFF8CBAD"/>
        </patternFill>
      </fill>
    </dxf>
    <dxf>
      <fill>
        <patternFill>
          <bgColor rgb="FFFFEB9C"/>
        </patternFill>
      </fill>
    </dxf>
    <dxf>
      <fill>
        <patternFill>
          <bgColor rgb="FFC6EFCE"/>
        </patternFill>
      </fill>
    </dxf>
    <dxf>
      <fill>
        <patternFill>
          <bgColor rgb="FFFF9999"/>
        </patternFill>
      </fill>
    </dxf>
    <dxf>
      <fill>
        <patternFill>
          <bgColor rgb="FFF8CBAD"/>
        </patternFill>
      </fill>
    </dxf>
    <dxf>
      <fill>
        <patternFill>
          <bgColor rgb="FFFFEB9C"/>
        </patternFill>
      </fill>
    </dxf>
    <dxf>
      <fill>
        <patternFill>
          <bgColor rgb="FFC6EFCE"/>
        </patternFill>
      </fill>
    </dxf>
    <dxf>
      <fill>
        <patternFill>
          <bgColor rgb="FFFF9999"/>
        </patternFill>
      </fill>
    </dxf>
    <dxf>
      <fill>
        <patternFill>
          <bgColor rgb="FFF8CBAD"/>
        </patternFill>
      </fill>
    </dxf>
    <dxf>
      <fill>
        <patternFill>
          <bgColor rgb="FFFFEB9C"/>
        </patternFill>
      </fill>
    </dxf>
    <dxf>
      <fill>
        <patternFill>
          <bgColor rgb="FFC6EFCE"/>
        </patternFill>
      </fill>
    </dxf>
    <dxf>
      <fill>
        <patternFill>
          <bgColor rgb="FFFF9999"/>
        </patternFill>
      </fill>
    </dxf>
    <dxf>
      <fill>
        <patternFill>
          <bgColor rgb="FFF8CBAD"/>
        </patternFill>
      </fill>
    </dxf>
    <dxf>
      <fill>
        <patternFill>
          <bgColor rgb="FFFFEB9C"/>
        </patternFill>
      </fill>
    </dxf>
    <dxf>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DEDED"/>
      <rgbColor rgb="FF660066"/>
      <rgbColor rgb="FFFF8080"/>
      <rgbColor rgb="FF0066CC"/>
      <rgbColor rgb="FFFFC7CE"/>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99"/>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7"/>
  <sheetViews>
    <sheetView zoomScaleNormal="100" workbookViewId="0">
      <pane xSplit="2" ySplit="5" topLeftCell="C6" activePane="bottomRight" state="frozen"/>
      <selection pane="topRight" activeCell="C1" sqref="C1"/>
      <selection pane="bottomLeft" activeCell="A6" sqref="A6"/>
      <selection pane="bottomRight"/>
    </sheetView>
  </sheetViews>
  <sheetFormatPr defaultColWidth="8.7109375" defaultRowHeight="15" x14ac:dyDescent="0.25"/>
  <cols>
    <col min="1" max="1" width="8" customWidth="1"/>
    <col min="2" max="2" width="26" customWidth="1"/>
    <col min="3" max="3" width="38" customWidth="1"/>
    <col min="4" max="4" width="22" customWidth="1"/>
    <col min="5" max="5" width="13" customWidth="1"/>
    <col min="6" max="6" width="15" customWidth="1"/>
    <col min="7" max="8" width="13" customWidth="1"/>
    <col min="9" max="9" width="11" customWidth="1"/>
    <col min="10" max="10" width="8" customWidth="1"/>
    <col min="11" max="11" width="11" customWidth="1"/>
    <col min="12" max="12" width="26" customWidth="1"/>
    <col min="13" max="13" width="52" customWidth="1"/>
    <col min="14" max="14" width="22" customWidth="1"/>
  </cols>
  <sheetData>
    <row r="1" spans="1:14" ht="15.75" customHeight="1" x14ac:dyDescent="0.25">
      <c r="A1" s="2" t="s">
        <v>0</v>
      </c>
    </row>
    <row r="2" spans="1:14" ht="15" customHeight="1" x14ac:dyDescent="0.25">
      <c r="A2" s="3" t="s">
        <v>1</v>
      </c>
    </row>
    <row r="3" spans="1:14" ht="15" customHeight="1" x14ac:dyDescent="0.25">
      <c r="A3" s="3" t="s">
        <v>2</v>
      </c>
    </row>
    <row r="5" spans="1:14" ht="45" customHeight="1" x14ac:dyDescent="0.25">
      <c r="A5" s="4" t="s">
        <v>3</v>
      </c>
      <c r="B5" s="4" t="s">
        <v>4</v>
      </c>
      <c r="C5" s="4" t="s">
        <v>5</v>
      </c>
      <c r="D5" s="4" t="s">
        <v>6</v>
      </c>
      <c r="E5" s="4" t="s">
        <v>7</v>
      </c>
      <c r="F5" s="4" t="s">
        <v>8</v>
      </c>
      <c r="G5" s="4" t="s">
        <v>9</v>
      </c>
      <c r="H5" s="4" t="s">
        <v>10</v>
      </c>
      <c r="I5" s="4" t="s">
        <v>11</v>
      </c>
      <c r="J5" s="4" t="s">
        <v>12</v>
      </c>
      <c r="K5" s="4" t="s">
        <v>13</v>
      </c>
      <c r="L5" s="4" t="s">
        <v>14</v>
      </c>
      <c r="M5" s="4" t="s">
        <v>15</v>
      </c>
      <c r="N5" s="4" t="s">
        <v>16</v>
      </c>
    </row>
    <row r="6" spans="1:14" ht="23.25" customHeight="1" x14ac:dyDescent="0.25">
      <c r="A6" s="5" t="s">
        <v>17</v>
      </c>
      <c r="B6" s="5" t="s">
        <v>18</v>
      </c>
      <c r="C6" s="5" t="s">
        <v>19</v>
      </c>
      <c r="D6" s="5" t="s">
        <v>20</v>
      </c>
      <c r="E6" s="6">
        <v>3</v>
      </c>
      <c r="F6" s="6">
        <v>3</v>
      </c>
      <c r="G6" s="6">
        <v>4</v>
      </c>
      <c r="H6" s="6">
        <v>4</v>
      </c>
      <c r="I6" s="7">
        <f t="shared" ref="I6:I27" si="0">MAX(F6:H6)</f>
        <v>4</v>
      </c>
      <c r="J6" s="8">
        <f t="shared" ref="J6:J27" si="1">E6*I6</f>
        <v>12</v>
      </c>
      <c r="K6" s="7" t="str">
        <f>IF(J6&lt;=Kriteria!$B$3,"Rendah",IF(J6&lt;=Kriteria!$B$4,"Sedang",IF(J6&lt;=Kriteria!$B$5,"Tinggi","Kritis")))</f>
        <v>Tinggi</v>
      </c>
      <c r="L6" s="7" t="str">
        <f>IF(J6&gt;Kriteria!$B$6,"Perlu ditangani",IF(J6&gt;Kriteria!$B$3,"Dapat diterima, perlu persetujuan pemilik risiko","Diterima"))</f>
        <v>Perlu ditangani</v>
      </c>
      <c r="M6" s="5" t="s">
        <v>21</v>
      </c>
      <c r="N6" s="9">
        <f t="shared" ref="N6:N27" si="2">J6+I6/100+E6/10000-ROW()/10000000</f>
        <v>12.040299399999999</v>
      </c>
    </row>
    <row r="7" spans="1:14" ht="23.25" customHeight="1" x14ac:dyDescent="0.25">
      <c r="A7" s="5" t="s">
        <v>22</v>
      </c>
      <c r="B7" s="5" t="s">
        <v>23</v>
      </c>
      <c r="C7" s="5" t="s">
        <v>24</v>
      </c>
      <c r="D7" s="5" t="s">
        <v>25</v>
      </c>
      <c r="E7" s="6">
        <v>3</v>
      </c>
      <c r="F7" s="6">
        <v>2</v>
      </c>
      <c r="G7" s="6">
        <v>3</v>
      </c>
      <c r="H7" s="6">
        <v>4</v>
      </c>
      <c r="I7" s="7">
        <f t="shared" si="0"/>
        <v>4</v>
      </c>
      <c r="J7" s="8">
        <f t="shared" si="1"/>
        <v>12</v>
      </c>
      <c r="K7" s="7" t="str">
        <f>IF(J7&lt;=Kriteria!$B$3,"Rendah",IF(J7&lt;=Kriteria!$B$4,"Sedang",IF(J7&lt;=Kriteria!$B$5,"Tinggi","Kritis")))</f>
        <v>Tinggi</v>
      </c>
      <c r="L7" s="7" t="str">
        <f>IF(J7&gt;Kriteria!$B$6,"Perlu ditangani",IF(J7&gt;Kriteria!$B$3,"Dapat diterima, perlu persetujuan pemilik risiko","Diterima"))</f>
        <v>Perlu ditangani</v>
      </c>
      <c r="M7" s="5" t="s">
        <v>26</v>
      </c>
      <c r="N7" s="9">
        <f t="shared" si="2"/>
        <v>12.040299299999999</v>
      </c>
    </row>
    <row r="8" spans="1:14" ht="23.25" customHeight="1" x14ac:dyDescent="0.25">
      <c r="A8" s="5" t="s">
        <v>27</v>
      </c>
      <c r="B8" s="5" t="s">
        <v>23</v>
      </c>
      <c r="C8" s="5" t="s">
        <v>28</v>
      </c>
      <c r="D8" s="5" t="s">
        <v>29</v>
      </c>
      <c r="E8" s="6">
        <v>2</v>
      </c>
      <c r="F8" s="6">
        <v>1</v>
      </c>
      <c r="G8" s="6">
        <v>3</v>
      </c>
      <c r="H8" s="6">
        <v>5</v>
      </c>
      <c r="I8" s="7">
        <f t="shared" si="0"/>
        <v>5</v>
      </c>
      <c r="J8" s="8">
        <f t="shared" si="1"/>
        <v>10</v>
      </c>
      <c r="K8" s="7" t="str">
        <f>IF(J8&lt;=Kriteria!$B$3,"Rendah",IF(J8&lt;=Kriteria!$B$4,"Sedang",IF(J8&lt;=Kriteria!$B$5,"Tinggi","Kritis")))</f>
        <v>Tinggi</v>
      </c>
      <c r="L8" s="7" t="str">
        <f>IF(J8&gt;Kriteria!$B$6,"Perlu ditangani",IF(J8&gt;Kriteria!$B$3,"Dapat diterima, perlu persetujuan pemilik risiko","Diterima"))</f>
        <v>Perlu ditangani</v>
      </c>
      <c r="M8" s="5" t="s">
        <v>30</v>
      </c>
      <c r="N8" s="9">
        <f t="shared" si="2"/>
        <v>10.0501992</v>
      </c>
    </row>
    <row r="9" spans="1:14" ht="23.25" customHeight="1" x14ac:dyDescent="0.25">
      <c r="A9" s="5" t="s">
        <v>31</v>
      </c>
      <c r="B9" s="5" t="s">
        <v>32</v>
      </c>
      <c r="C9" s="5" t="s">
        <v>33</v>
      </c>
      <c r="D9" s="5" t="s">
        <v>34</v>
      </c>
      <c r="E9" s="6">
        <v>2</v>
      </c>
      <c r="F9" s="6">
        <v>2</v>
      </c>
      <c r="G9" s="6">
        <v>5</v>
      </c>
      <c r="H9" s="6">
        <v>4</v>
      </c>
      <c r="I9" s="7">
        <f t="shared" si="0"/>
        <v>5</v>
      </c>
      <c r="J9" s="8">
        <f t="shared" si="1"/>
        <v>10</v>
      </c>
      <c r="K9" s="7" t="str">
        <f>IF(J9&lt;=Kriteria!$B$3,"Rendah",IF(J9&lt;=Kriteria!$B$4,"Sedang",IF(J9&lt;=Kriteria!$B$5,"Tinggi","Kritis")))</f>
        <v>Tinggi</v>
      </c>
      <c r="L9" s="7" t="str">
        <f>IF(J9&gt;Kriteria!$B$6,"Perlu ditangani",IF(J9&gt;Kriteria!$B$3,"Dapat diterima, perlu persetujuan pemilik risiko","Diterima"))</f>
        <v>Perlu ditangani</v>
      </c>
      <c r="M9" s="5" t="s">
        <v>35</v>
      </c>
      <c r="N9" s="9">
        <f t="shared" si="2"/>
        <v>10.0501991</v>
      </c>
    </row>
    <row r="10" spans="1:14" ht="23.25" customHeight="1" x14ac:dyDescent="0.25">
      <c r="A10" s="5" t="s">
        <v>36</v>
      </c>
      <c r="B10" s="5" t="s">
        <v>37</v>
      </c>
      <c r="C10" s="5" t="s">
        <v>38</v>
      </c>
      <c r="D10" s="5" t="s">
        <v>39</v>
      </c>
      <c r="E10" s="6">
        <v>3</v>
      </c>
      <c r="F10" s="6">
        <v>3</v>
      </c>
      <c r="G10" s="6">
        <v>4</v>
      </c>
      <c r="H10" s="6">
        <v>4</v>
      </c>
      <c r="I10" s="7">
        <f t="shared" si="0"/>
        <v>4</v>
      </c>
      <c r="J10" s="8">
        <f t="shared" si="1"/>
        <v>12</v>
      </c>
      <c r="K10" s="7" t="str">
        <f>IF(J10&lt;=Kriteria!$B$3,"Rendah",IF(J10&lt;=Kriteria!$B$4,"Sedang",IF(J10&lt;=Kriteria!$B$5,"Tinggi","Kritis")))</f>
        <v>Tinggi</v>
      </c>
      <c r="L10" s="7" t="str">
        <f>IF(J10&gt;Kriteria!$B$6,"Perlu ditangani",IF(J10&gt;Kriteria!$B$3,"Dapat diterima, perlu persetujuan pemilik risiko","Diterima"))</f>
        <v>Perlu ditangani</v>
      </c>
      <c r="M10" s="5" t="s">
        <v>40</v>
      </c>
      <c r="N10" s="9">
        <f t="shared" si="2"/>
        <v>12.040298999999999</v>
      </c>
    </row>
    <row r="11" spans="1:14" ht="23.25" customHeight="1" x14ac:dyDescent="0.25">
      <c r="A11" s="5" t="s">
        <v>41</v>
      </c>
      <c r="B11" s="5" t="s">
        <v>42</v>
      </c>
      <c r="C11" s="5" t="s">
        <v>43</v>
      </c>
      <c r="D11" s="5" t="s">
        <v>20</v>
      </c>
      <c r="E11" s="6">
        <v>3</v>
      </c>
      <c r="F11" s="6">
        <v>2</v>
      </c>
      <c r="G11" s="6">
        <v>2</v>
      </c>
      <c r="H11" s="6">
        <v>3</v>
      </c>
      <c r="I11" s="7">
        <f t="shared" si="0"/>
        <v>3</v>
      </c>
      <c r="J11" s="8">
        <f t="shared" si="1"/>
        <v>9</v>
      </c>
      <c r="K11" s="7" t="str">
        <f>IF(J11&lt;=Kriteria!$B$3,"Rendah",IF(J11&lt;=Kriteria!$B$4,"Sedang",IF(J11&lt;=Kriteria!$B$5,"Tinggi","Kritis")))</f>
        <v>Sedang</v>
      </c>
      <c r="L11" s="7" t="str">
        <f>IF(J11&gt;Kriteria!$B$6,"Perlu ditangani",IF(J11&gt;Kriteria!$B$3,"Dapat diterima, perlu persetujuan pemilik risiko","Diterima"))</f>
        <v>Dapat diterima, perlu persetujuan pemilik risiko</v>
      </c>
      <c r="M11" s="5" t="s">
        <v>44</v>
      </c>
      <c r="N11" s="9">
        <f t="shared" si="2"/>
        <v>9.0302988999999982</v>
      </c>
    </row>
    <row r="12" spans="1:14" ht="23.25" customHeight="1" x14ac:dyDescent="0.25">
      <c r="A12" s="5" t="s">
        <v>45</v>
      </c>
      <c r="B12" s="5" t="s">
        <v>42</v>
      </c>
      <c r="C12" s="5" t="s">
        <v>46</v>
      </c>
      <c r="D12" s="5" t="s">
        <v>20</v>
      </c>
      <c r="E12" s="6">
        <v>3</v>
      </c>
      <c r="F12" s="6">
        <v>4</v>
      </c>
      <c r="G12" s="6">
        <v>5</v>
      </c>
      <c r="H12" s="6">
        <v>5</v>
      </c>
      <c r="I12" s="7">
        <f t="shared" si="0"/>
        <v>5</v>
      </c>
      <c r="J12" s="8">
        <f t="shared" si="1"/>
        <v>15</v>
      </c>
      <c r="K12" s="7" t="str">
        <f>IF(J12&lt;=Kriteria!$B$3,"Rendah",IF(J12&lt;=Kriteria!$B$4,"Sedang",IF(J12&lt;=Kriteria!$B$5,"Tinggi","Kritis")))</f>
        <v>Tinggi</v>
      </c>
      <c r="L12" s="7" t="str">
        <f>IF(J12&gt;Kriteria!$B$6,"Perlu ditangani",IF(J12&gt;Kriteria!$B$3,"Dapat diterima, perlu persetujuan pemilik risiko","Diterima"))</f>
        <v>Perlu ditangani</v>
      </c>
      <c r="M12" s="5" t="s">
        <v>47</v>
      </c>
      <c r="N12" s="9">
        <f t="shared" si="2"/>
        <v>15.0502988</v>
      </c>
    </row>
    <row r="13" spans="1:14" ht="23.25" customHeight="1" x14ac:dyDescent="0.25">
      <c r="A13" s="5" t="s">
        <v>48</v>
      </c>
      <c r="B13" s="5" t="s">
        <v>49</v>
      </c>
      <c r="C13" s="5" t="s">
        <v>50</v>
      </c>
      <c r="D13" s="5" t="s">
        <v>25</v>
      </c>
      <c r="E13" s="6">
        <v>3</v>
      </c>
      <c r="F13" s="6">
        <v>1</v>
      </c>
      <c r="G13" s="6">
        <v>2</v>
      </c>
      <c r="H13" s="6">
        <v>2</v>
      </c>
      <c r="I13" s="7">
        <f t="shared" si="0"/>
        <v>2</v>
      </c>
      <c r="J13" s="8">
        <f t="shared" si="1"/>
        <v>6</v>
      </c>
      <c r="K13" s="7" t="str">
        <f>IF(J13&lt;=Kriteria!$B$3,"Rendah",IF(J13&lt;=Kriteria!$B$4,"Sedang",IF(J13&lt;=Kriteria!$B$5,"Tinggi","Kritis")))</f>
        <v>Sedang</v>
      </c>
      <c r="L13" s="7" t="str">
        <f>IF(J13&gt;Kriteria!$B$6,"Perlu ditangani",IF(J13&gt;Kriteria!$B$3,"Dapat diterima, perlu persetujuan pemilik risiko","Diterima"))</f>
        <v>Dapat diterima, perlu persetujuan pemilik risiko</v>
      </c>
      <c r="M13" s="5" t="s">
        <v>51</v>
      </c>
      <c r="N13" s="9">
        <f t="shared" si="2"/>
        <v>6.0202986999999997</v>
      </c>
    </row>
    <row r="14" spans="1:14" ht="23.25" customHeight="1" x14ac:dyDescent="0.25">
      <c r="A14" s="5" t="s">
        <v>52</v>
      </c>
      <c r="B14" s="5" t="s">
        <v>53</v>
      </c>
      <c r="C14" s="5" t="s">
        <v>54</v>
      </c>
      <c r="D14" s="5" t="s">
        <v>55</v>
      </c>
      <c r="E14" s="6">
        <v>3</v>
      </c>
      <c r="F14" s="6">
        <v>1</v>
      </c>
      <c r="G14" s="6">
        <v>3</v>
      </c>
      <c r="H14" s="6">
        <v>3</v>
      </c>
      <c r="I14" s="7">
        <f t="shared" si="0"/>
        <v>3</v>
      </c>
      <c r="J14" s="8">
        <f t="shared" si="1"/>
        <v>9</v>
      </c>
      <c r="K14" s="7" t="str">
        <f>IF(J14&lt;=Kriteria!$B$3,"Rendah",IF(J14&lt;=Kriteria!$B$4,"Sedang",IF(J14&lt;=Kriteria!$B$5,"Tinggi","Kritis")))</f>
        <v>Sedang</v>
      </c>
      <c r="L14" s="7" t="str">
        <f>IF(J14&gt;Kriteria!$B$6,"Perlu ditangani",IF(J14&gt;Kriteria!$B$3,"Dapat diterima, perlu persetujuan pemilik risiko","Diterima"))</f>
        <v>Dapat diterima, perlu persetujuan pemilik risiko</v>
      </c>
      <c r="M14" s="5" t="s">
        <v>56</v>
      </c>
      <c r="N14" s="9">
        <f t="shared" si="2"/>
        <v>9.0302985999999983</v>
      </c>
    </row>
    <row r="15" spans="1:14" ht="23.25" customHeight="1" x14ac:dyDescent="0.25">
      <c r="A15" s="5" t="s">
        <v>57</v>
      </c>
      <c r="B15" s="5" t="s">
        <v>58</v>
      </c>
      <c r="C15" s="5" t="s">
        <v>59</v>
      </c>
      <c r="D15" s="5" t="s">
        <v>20</v>
      </c>
      <c r="E15" s="6">
        <v>4</v>
      </c>
      <c r="F15" s="6">
        <v>4</v>
      </c>
      <c r="G15" s="6">
        <v>3</v>
      </c>
      <c r="H15" s="6">
        <v>3</v>
      </c>
      <c r="I15" s="7">
        <f t="shared" si="0"/>
        <v>4</v>
      </c>
      <c r="J15" s="8">
        <f t="shared" si="1"/>
        <v>16</v>
      </c>
      <c r="K15" s="7" t="str">
        <f>IF(J15&lt;=Kriteria!$B$3,"Rendah",IF(J15&lt;=Kriteria!$B$4,"Sedang",IF(J15&lt;=Kriteria!$B$5,"Tinggi","Kritis")))</f>
        <v>Tinggi</v>
      </c>
      <c r="L15" s="7" t="str">
        <f>IF(J15&gt;Kriteria!$B$6,"Perlu ditangani",IF(J15&gt;Kriteria!$B$3,"Dapat diterima, perlu persetujuan pemilik risiko","Diterima"))</f>
        <v>Perlu ditangani</v>
      </c>
      <c r="M15" s="5" t="s">
        <v>60</v>
      </c>
      <c r="N15" s="9">
        <f t="shared" si="2"/>
        <v>16.040398499999998</v>
      </c>
    </row>
    <row r="16" spans="1:14" ht="15" customHeight="1" x14ac:dyDescent="0.25">
      <c r="A16" s="5" t="s">
        <v>61</v>
      </c>
      <c r="B16" s="5" t="s">
        <v>58</v>
      </c>
      <c r="C16" s="5" t="s">
        <v>62</v>
      </c>
      <c r="D16" s="5" t="s">
        <v>20</v>
      </c>
      <c r="E16" s="6">
        <v>3</v>
      </c>
      <c r="F16" s="6">
        <v>2</v>
      </c>
      <c r="G16" s="6">
        <v>4</v>
      </c>
      <c r="H16" s="6">
        <v>4</v>
      </c>
      <c r="I16" s="7">
        <f t="shared" si="0"/>
        <v>4</v>
      </c>
      <c r="J16" s="8">
        <f t="shared" si="1"/>
        <v>12</v>
      </c>
      <c r="K16" s="7" t="str">
        <f>IF(J16&lt;=Kriteria!$B$3,"Rendah",IF(J16&lt;=Kriteria!$B$4,"Sedang",IF(J16&lt;=Kriteria!$B$5,"Tinggi","Kritis")))</f>
        <v>Tinggi</v>
      </c>
      <c r="L16" s="7" t="str">
        <f>IF(J16&gt;Kriteria!$B$6,"Perlu ditangani",IF(J16&gt;Kriteria!$B$3,"Dapat diterima, perlu persetujuan pemilik risiko","Diterima"))</f>
        <v>Perlu ditangani</v>
      </c>
      <c r="M16" s="5" t="s">
        <v>63</v>
      </c>
      <c r="N16" s="9">
        <f t="shared" si="2"/>
        <v>12.040298399999999</v>
      </c>
    </row>
    <row r="17" spans="1:14" ht="23.25" customHeight="1" x14ac:dyDescent="0.25">
      <c r="A17" s="5" t="s">
        <v>64</v>
      </c>
      <c r="B17" s="5" t="s">
        <v>65</v>
      </c>
      <c r="C17" s="5" t="s">
        <v>66</v>
      </c>
      <c r="D17" s="5" t="s">
        <v>55</v>
      </c>
      <c r="E17" s="6">
        <v>4</v>
      </c>
      <c r="F17" s="6">
        <v>2</v>
      </c>
      <c r="G17" s="6">
        <v>3</v>
      </c>
      <c r="H17" s="6">
        <v>3</v>
      </c>
      <c r="I17" s="7">
        <f t="shared" si="0"/>
        <v>3</v>
      </c>
      <c r="J17" s="8">
        <f t="shared" si="1"/>
        <v>12</v>
      </c>
      <c r="K17" s="7" t="str">
        <f>IF(J17&lt;=Kriteria!$B$3,"Rendah",IF(J17&lt;=Kriteria!$B$4,"Sedang",IF(J17&lt;=Kriteria!$B$5,"Tinggi","Kritis")))</f>
        <v>Tinggi</v>
      </c>
      <c r="L17" s="7" t="str">
        <f>IF(J17&gt;Kriteria!$B$6,"Perlu ditangani",IF(J17&gt;Kriteria!$B$3,"Dapat diterima, perlu persetujuan pemilik risiko","Diterima"))</f>
        <v>Perlu ditangani</v>
      </c>
      <c r="M17" s="5" t="s">
        <v>67</v>
      </c>
      <c r="N17" s="9">
        <f t="shared" si="2"/>
        <v>12.0303983</v>
      </c>
    </row>
    <row r="18" spans="1:14" ht="23.25" customHeight="1" x14ac:dyDescent="0.25">
      <c r="A18" s="5" t="s">
        <v>68</v>
      </c>
      <c r="B18" s="5" t="s">
        <v>69</v>
      </c>
      <c r="C18" s="5" t="s">
        <v>70</v>
      </c>
      <c r="D18" s="5" t="s">
        <v>39</v>
      </c>
      <c r="E18" s="6">
        <v>3</v>
      </c>
      <c r="F18" s="6">
        <v>2</v>
      </c>
      <c r="G18" s="6">
        <v>2</v>
      </c>
      <c r="H18" s="6">
        <v>3</v>
      </c>
      <c r="I18" s="7">
        <f t="shared" si="0"/>
        <v>3</v>
      </c>
      <c r="J18" s="8">
        <f t="shared" si="1"/>
        <v>9</v>
      </c>
      <c r="K18" s="7" t="str">
        <f>IF(J18&lt;=Kriteria!$B$3,"Rendah",IF(J18&lt;=Kriteria!$B$4,"Sedang",IF(J18&lt;=Kriteria!$B$5,"Tinggi","Kritis")))</f>
        <v>Sedang</v>
      </c>
      <c r="L18" s="7" t="str">
        <f>IF(J18&gt;Kriteria!$B$6,"Perlu ditangani",IF(J18&gt;Kriteria!$B$3,"Dapat diterima, perlu persetujuan pemilik risiko","Diterima"))</f>
        <v>Dapat diterima, perlu persetujuan pemilik risiko</v>
      </c>
      <c r="M18" s="5" t="s">
        <v>71</v>
      </c>
      <c r="N18" s="9">
        <f t="shared" si="2"/>
        <v>9.0302981999999989</v>
      </c>
    </row>
    <row r="19" spans="1:14" ht="23.25" customHeight="1" x14ac:dyDescent="0.25">
      <c r="A19" s="5" t="s">
        <v>72</v>
      </c>
      <c r="B19" s="5" t="s">
        <v>73</v>
      </c>
      <c r="C19" s="5" t="s">
        <v>74</v>
      </c>
      <c r="D19" s="5" t="s">
        <v>29</v>
      </c>
      <c r="E19" s="6">
        <v>2</v>
      </c>
      <c r="F19" s="6">
        <v>4</v>
      </c>
      <c r="G19" s="6">
        <v>3</v>
      </c>
      <c r="H19" s="6">
        <v>3</v>
      </c>
      <c r="I19" s="7">
        <f t="shared" si="0"/>
        <v>4</v>
      </c>
      <c r="J19" s="8">
        <f t="shared" si="1"/>
        <v>8</v>
      </c>
      <c r="K19" s="7" t="str">
        <f>IF(J19&lt;=Kriteria!$B$3,"Rendah",IF(J19&lt;=Kriteria!$B$4,"Sedang",IF(J19&lt;=Kriteria!$B$5,"Tinggi","Kritis")))</f>
        <v>Sedang</v>
      </c>
      <c r="L19" s="7" t="str">
        <f>IF(J19&gt;Kriteria!$B$6,"Perlu ditangani",IF(J19&gt;Kriteria!$B$3,"Dapat diterima, perlu persetujuan pemilik risiko","Diterima"))</f>
        <v>Dapat diterima, perlu persetujuan pemilik risiko</v>
      </c>
      <c r="M19" s="5" t="s">
        <v>75</v>
      </c>
      <c r="N19" s="9">
        <f t="shared" si="2"/>
        <v>8.0401980999999978</v>
      </c>
    </row>
    <row r="20" spans="1:14" ht="23.25" customHeight="1" x14ac:dyDescent="0.25">
      <c r="A20" s="5" t="s">
        <v>76</v>
      </c>
      <c r="B20" s="5" t="s">
        <v>73</v>
      </c>
      <c r="C20" s="5" t="s">
        <v>77</v>
      </c>
      <c r="D20" s="5" t="s">
        <v>29</v>
      </c>
      <c r="E20" s="6">
        <v>2</v>
      </c>
      <c r="F20" s="6">
        <v>5</v>
      </c>
      <c r="G20" s="6">
        <v>4</v>
      </c>
      <c r="H20" s="6">
        <v>5</v>
      </c>
      <c r="I20" s="7">
        <f t="shared" si="0"/>
        <v>5</v>
      </c>
      <c r="J20" s="8">
        <f t="shared" si="1"/>
        <v>10</v>
      </c>
      <c r="K20" s="7" t="str">
        <f>IF(J20&lt;=Kriteria!$B$3,"Rendah",IF(J20&lt;=Kriteria!$B$4,"Sedang",IF(J20&lt;=Kriteria!$B$5,"Tinggi","Kritis")))</f>
        <v>Tinggi</v>
      </c>
      <c r="L20" s="7" t="str">
        <f>IF(J20&gt;Kriteria!$B$6,"Perlu ditangani",IF(J20&gt;Kriteria!$B$3,"Dapat diterima, perlu persetujuan pemilik risiko","Diterima"))</f>
        <v>Perlu ditangani</v>
      </c>
      <c r="M20" s="5" t="s">
        <v>78</v>
      </c>
      <c r="N20" s="9">
        <f t="shared" si="2"/>
        <v>10.050198</v>
      </c>
    </row>
    <row r="21" spans="1:14" ht="23.25" customHeight="1" x14ac:dyDescent="0.25">
      <c r="A21" s="5" t="s">
        <v>79</v>
      </c>
      <c r="B21" s="5" t="s">
        <v>80</v>
      </c>
      <c r="C21" s="5" t="s">
        <v>81</v>
      </c>
      <c r="D21" s="5" t="s">
        <v>29</v>
      </c>
      <c r="E21" s="6">
        <v>2</v>
      </c>
      <c r="F21" s="6">
        <v>2</v>
      </c>
      <c r="G21" s="6">
        <v>3</v>
      </c>
      <c r="H21" s="6">
        <v>3</v>
      </c>
      <c r="I21" s="7">
        <f t="shared" si="0"/>
        <v>3</v>
      </c>
      <c r="J21" s="8">
        <f t="shared" si="1"/>
        <v>6</v>
      </c>
      <c r="K21" s="7" t="str">
        <f>IF(J21&lt;=Kriteria!$B$3,"Rendah",IF(J21&lt;=Kriteria!$B$4,"Sedang",IF(J21&lt;=Kriteria!$B$5,"Tinggi","Kritis")))</f>
        <v>Sedang</v>
      </c>
      <c r="L21" s="7" t="str">
        <f>IF(J21&gt;Kriteria!$B$6,"Perlu ditangani",IF(J21&gt;Kriteria!$B$3,"Dapat diterima, perlu persetujuan pemilik risiko","Diterima"))</f>
        <v>Dapat diterima, perlu persetujuan pemilik risiko</v>
      </c>
      <c r="M21" s="5" t="s">
        <v>82</v>
      </c>
      <c r="N21" s="9">
        <f t="shared" si="2"/>
        <v>6.030197900000001</v>
      </c>
    </row>
    <row r="22" spans="1:14" ht="23.25" customHeight="1" x14ac:dyDescent="0.25">
      <c r="A22" s="5" t="s">
        <v>83</v>
      </c>
      <c r="B22" s="5" t="s">
        <v>84</v>
      </c>
      <c r="C22" s="5" t="s">
        <v>85</v>
      </c>
      <c r="D22" s="5" t="s">
        <v>86</v>
      </c>
      <c r="E22" s="6">
        <v>3</v>
      </c>
      <c r="F22" s="6">
        <v>1</v>
      </c>
      <c r="G22" s="6">
        <v>2</v>
      </c>
      <c r="H22" s="6">
        <v>3</v>
      </c>
      <c r="I22" s="7">
        <f t="shared" si="0"/>
        <v>3</v>
      </c>
      <c r="J22" s="8">
        <f t="shared" si="1"/>
        <v>9</v>
      </c>
      <c r="K22" s="7" t="str">
        <f>IF(J22&lt;=Kriteria!$B$3,"Rendah",IF(J22&lt;=Kriteria!$B$4,"Sedang",IF(J22&lt;=Kriteria!$B$5,"Tinggi","Kritis")))</f>
        <v>Sedang</v>
      </c>
      <c r="L22" s="7" t="str">
        <f>IF(J22&gt;Kriteria!$B$6,"Perlu ditangani",IF(J22&gt;Kriteria!$B$3,"Dapat diterima, perlu persetujuan pemilik risiko","Diterima"))</f>
        <v>Dapat diterima, perlu persetujuan pemilik risiko</v>
      </c>
      <c r="M22" s="5" t="s">
        <v>87</v>
      </c>
      <c r="N22" s="9">
        <f t="shared" si="2"/>
        <v>9.0302977999999978</v>
      </c>
    </row>
    <row r="23" spans="1:14" ht="23.25" customHeight="1" x14ac:dyDescent="0.25">
      <c r="A23" s="5" t="s">
        <v>88</v>
      </c>
      <c r="B23" s="5" t="s">
        <v>84</v>
      </c>
      <c r="C23" s="5" t="s">
        <v>89</v>
      </c>
      <c r="D23" s="5" t="s">
        <v>86</v>
      </c>
      <c r="E23" s="6">
        <v>4</v>
      </c>
      <c r="F23" s="6">
        <v>3</v>
      </c>
      <c r="G23" s="6">
        <v>4</v>
      </c>
      <c r="H23" s="6">
        <v>3</v>
      </c>
      <c r="I23" s="7">
        <f t="shared" si="0"/>
        <v>4</v>
      </c>
      <c r="J23" s="8">
        <f t="shared" si="1"/>
        <v>16</v>
      </c>
      <c r="K23" s="7" t="str">
        <f>IF(J23&lt;=Kriteria!$B$3,"Rendah",IF(J23&lt;=Kriteria!$B$4,"Sedang",IF(J23&lt;=Kriteria!$B$5,"Tinggi","Kritis")))</f>
        <v>Tinggi</v>
      </c>
      <c r="L23" s="7" t="str">
        <f>IF(J23&gt;Kriteria!$B$6,"Perlu ditangani",IF(J23&gt;Kriteria!$B$3,"Dapat diterima, perlu persetujuan pemilik risiko","Diterima"))</f>
        <v>Perlu ditangani</v>
      </c>
      <c r="M23" s="5" t="s">
        <v>90</v>
      </c>
      <c r="N23" s="9">
        <f t="shared" si="2"/>
        <v>16.0403977</v>
      </c>
    </row>
    <row r="24" spans="1:14" ht="23.25" customHeight="1" x14ac:dyDescent="0.25">
      <c r="A24" s="5" t="s">
        <v>91</v>
      </c>
      <c r="B24" s="5" t="s">
        <v>92</v>
      </c>
      <c r="C24" s="5" t="s">
        <v>93</v>
      </c>
      <c r="D24" s="5" t="s">
        <v>94</v>
      </c>
      <c r="E24" s="6">
        <v>2</v>
      </c>
      <c r="F24" s="6">
        <v>4</v>
      </c>
      <c r="G24" s="6">
        <v>4</v>
      </c>
      <c r="H24" s="6">
        <v>3</v>
      </c>
      <c r="I24" s="7">
        <f t="shared" si="0"/>
        <v>4</v>
      </c>
      <c r="J24" s="8">
        <f t="shared" si="1"/>
        <v>8</v>
      </c>
      <c r="K24" s="7" t="str">
        <f>IF(J24&lt;=Kriteria!$B$3,"Rendah",IF(J24&lt;=Kriteria!$B$4,"Sedang",IF(J24&lt;=Kriteria!$B$5,"Tinggi","Kritis")))</f>
        <v>Sedang</v>
      </c>
      <c r="L24" s="7" t="str">
        <f>IF(J24&gt;Kriteria!$B$6,"Perlu ditangani",IF(J24&gt;Kriteria!$B$3,"Dapat diterima, perlu persetujuan pemilik risiko","Diterima"))</f>
        <v>Dapat diterima, perlu persetujuan pemilik risiko</v>
      </c>
      <c r="M24" s="5" t="s">
        <v>95</v>
      </c>
      <c r="N24" s="9">
        <f t="shared" si="2"/>
        <v>8.0401975999999991</v>
      </c>
    </row>
    <row r="25" spans="1:14" ht="23.25" customHeight="1" x14ac:dyDescent="0.25">
      <c r="A25" s="5" t="s">
        <v>96</v>
      </c>
      <c r="B25" s="5" t="s">
        <v>97</v>
      </c>
      <c r="C25" s="5" t="s">
        <v>98</v>
      </c>
      <c r="D25" s="5" t="s">
        <v>25</v>
      </c>
      <c r="E25" s="6">
        <v>2</v>
      </c>
      <c r="F25" s="6">
        <v>2</v>
      </c>
      <c r="G25" s="6">
        <v>4</v>
      </c>
      <c r="H25" s="6">
        <v>5</v>
      </c>
      <c r="I25" s="7">
        <f t="shared" si="0"/>
        <v>5</v>
      </c>
      <c r="J25" s="8">
        <f t="shared" si="1"/>
        <v>10</v>
      </c>
      <c r="K25" s="7" t="str">
        <f>IF(J25&lt;=Kriteria!$B$3,"Rendah",IF(J25&lt;=Kriteria!$B$4,"Sedang",IF(J25&lt;=Kriteria!$B$5,"Tinggi","Kritis")))</f>
        <v>Tinggi</v>
      </c>
      <c r="L25" s="7" t="str">
        <f>IF(J25&gt;Kriteria!$B$6,"Perlu ditangani",IF(J25&gt;Kriteria!$B$3,"Dapat diterima, perlu persetujuan pemilik risiko","Diterima"))</f>
        <v>Perlu ditangani</v>
      </c>
      <c r="M25" s="5" t="s">
        <v>99</v>
      </c>
      <c r="N25" s="9">
        <f t="shared" si="2"/>
        <v>10.050197499999999</v>
      </c>
    </row>
    <row r="26" spans="1:14" ht="23.25" customHeight="1" x14ac:dyDescent="0.25">
      <c r="A26" s="5" t="s">
        <v>100</v>
      </c>
      <c r="B26" s="5" t="s">
        <v>101</v>
      </c>
      <c r="C26" s="5" t="s">
        <v>102</v>
      </c>
      <c r="D26" s="5" t="s">
        <v>20</v>
      </c>
      <c r="E26" s="6">
        <v>3</v>
      </c>
      <c r="F26" s="6">
        <v>3</v>
      </c>
      <c r="G26" s="6">
        <v>3</v>
      </c>
      <c r="H26" s="6">
        <v>3</v>
      </c>
      <c r="I26" s="7">
        <f t="shared" si="0"/>
        <v>3</v>
      </c>
      <c r="J26" s="8">
        <f t="shared" si="1"/>
        <v>9</v>
      </c>
      <c r="K26" s="7" t="str">
        <f>IF(J26&lt;=Kriteria!$B$3,"Rendah",IF(J26&lt;=Kriteria!$B$4,"Sedang",IF(J26&lt;=Kriteria!$B$5,"Tinggi","Kritis")))</f>
        <v>Sedang</v>
      </c>
      <c r="L26" s="7" t="str">
        <f>IF(J26&gt;Kriteria!$B$6,"Perlu ditangani",IF(J26&gt;Kriteria!$B$3,"Dapat diterima, perlu persetujuan pemilik risiko","Diterima"))</f>
        <v>Dapat diterima, perlu persetujuan pemilik risiko</v>
      </c>
      <c r="M26" s="5" t="s">
        <v>103</v>
      </c>
      <c r="N26" s="9">
        <f t="shared" si="2"/>
        <v>9.0302973999999985</v>
      </c>
    </row>
    <row r="27" spans="1:14" ht="23.25" customHeight="1" x14ac:dyDescent="0.25">
      <c r="A27" s="5" t="s">
        <v>104</v>
      </c>
      <c r="B27" s="5" t="s">
        <v>105</v>
      </c>
      <c r="C27" s="5" t="s">
        <v>106</v>
      </c>
      <c r="D27" s="5" t="s">
        <v>107</v>
      </c>
      <c r="E27" s="6">
        <v>3</v>
      </c>
      <c r="F27" s="6">
        <v>3</v>
      </c>
      <c r="G27" s="6">
        <v>2</v>
      </c>
      <c r="H27" s="6">
        <v>2</v>
      </c>
      <c r="I27" s="7">
        <f t="shared" si="0"/>
        <v>3</v>
      </c>
      <c r="J27" s="8">
        <f t="shared" si="1"/>
        <v>9</v>
      </c>
      <c r="K27" s="7" t="str">
        <f>IF(J27&lt;=Kriteria!$B$3,"Rendah",IF(J27&lt;=Kriteria!$B$4,"Sedang",IF(J27&lt;=Kriteria!$B$5,"Tinggi","Kritis")))</f>
        <v>Sedang</v>
      </c>
      <c r="L27" s="7" t="str">
        <f>IF(J27&gt;Kriteria!$B$6,"Perlu ditangani",IF(J27&gt;Kriteria!$B$3,"Dapat diterima, perlu persetujuan pemilik risiko","Diterima"))</f>
        <v>Dapat diterima, perlu persetujuan pemilik risiko</v>
      </c>
      <c r="M27" s="5" t="s">
        <v>108</v>
      </c>
      <c r="N27" s="9">
        <f t="shared" si="2"/>
        <v>9.0302972999999991</v>
      </c>
    </row>
  </sheetData>
  <autoFilter ref="A5:N27" xr:uid="{00000000-0009-0000-0000-000000000000}"/>
  <conditionalFormatting sqref="K6:K27">
    <cfRule type="expression" dxfId="21" priority="2">
      <formula>$K6="Rendah"</formula>
    </cfRule>
    <cfRule type="expression" dxfId="20" priority="3">
      <formula>$K6="Sedang"</formula>
    </cfRule>
    <cfRule type="expression" dxfId="19" priority="4">
      <formula>$K6="Tinggi"</formula>
    </cfRule>
    <cfRule type="expression" dxfId="18" priority="5">
      <formula>$K6="Kritis"</formula>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3"/>
  <sheetViews>
    <sheetView zoomScaleNormal="100" workbookViewId="0">
      <pane xSplit="2" ySplit="9" topLeftCell="C10" activePane="bottomRight" state="frozen"/>
      <selection pane="topRight" activeCell="C1" sqref="C1"/>
      <selection pane="bottomLeft" activeCell="A10" sqref="A10"/>
      <selection pane="bottomRight"/>
    </sheetView>
  </sheetViews>
  <sheetFormatPr defaultColWidth="8.7109375" defaultRowHeight="15" x14ac:dyDescent="0.25"/>
  <cols>
    <col min="1" max="1" width="10" customWidth="1"/>
    <col min="2" max="2" width="8" customWidth="1"/>
    <col min="3" max="3" width="46" customWidth="1"/>
    <col min="4" max="4" width="24" customWidth="1"/>
    <col min="5" max="5" width="8" customWidth="1"/>
    <col min="6" max="6" width="11" customWidth="1"/>
    <col min="7" max="7" width="34" customWidth="1"/>
    <col min="8" max="8" width="24" customWidth="1"/>
    <col min="9" max="9" width="26" customWidth="1"/>
  </cols>
  <sheetData>
    <row r="1" spans="1:9" ht="15.75" customHeight="1" x14ac:dyDescent="0.25">
      <c r="A1" s="2" t="s">
        <v>109</v>
      </c>
    </row>
    <row r="2" spans="1:9" ht="15" customHeight="1" x14ac:dyDescent="0.25">
      <c r="A2" s="3" t="s">
        <v>110</v>
      </c>
    </row>
    <row r="3" spans="1:9" ht="15" customHeight="1" x14ac:dyDescent="0.25">
      <c r="A3" s="3" t="s">
        <v>111</v>
      </c>
    </row>
    <row r="4" spans="1:9" ht="15" customHeight="1" x14ac:dyDescent="0.25">
      <c r="A4" s="3" t="s">
        <v>112</v>
      </c>
    </row>
    <row r="6" spans="1:9" ht="15" customHeight="1" x14ac:dyDescent="0.25">
      <c r="A6" s="3" t="s">
        <v>113</v>
      </c>
      <c r="D6" s="10">
        <v>90</v>
      </c>
    </row>
    <row r="7" spans="1:9" ht="15" customHeight="1" x14ac:dyDescent="0.25">
      <c r="A7" s="3" t="s">
        <v>114</v>
      </c>
      <c r="D7" s="10">
        <v>30</v>
      </c>
    </row>
    <row r="9" spans="1:9" ht="31.5" customHeight="1" x14ac:dyDescent="0.25">
      <c r="A9" s="4" t="s">
        <v>115</v>
      </c>
      <c r="B9" s="4" t="s">
        <v>3</v>
      </c>
      <c r="C9" s="4" t="s">
        <v>5</v>
      </c>
      <c r="D9" s="4" t="s">
        <v>6</v>
      </c>
      <c r="E9" s="4" t="s">
        <v>12</v>
      </c>
      <c r="F9" s="4" t="s">
        <v>13</v>
      </c>
      <c r="G9" s="4" t="s">
        <v>116</v>
      </c>
      <c r="H9" s="4" t="s">
        <v>117</v>
      </c>
      <c r="I9" s="4" t="s">
        <v>118</v>
      </c>
    </row>
    <row r="10" spans="1:9" ht="15" customHeight="1" x14ac:dyDescent="0.25">
      <c r="A10" s="7">
        <v>1</v>
      </c>
      <c r="B10" s="7" t="str">
        <f>INDEX('Risk Register'!$A$6:$A$27,MATCH(LARGE('Risk Register'!$N$6:$N$27,$A10),'Risk Register'!$N$6:$N$27,0))</f>
        <v>R-10</v>
      </c>
      <c r="C10" s="5" t="str">
        <f>INDEX('Risk Register'!$C$6:$C$27,MATCH(LARGE('Risk Register'!$N$6:$N$27,$A10),'Risk Register'!$N$6:$N$27,0))</f>
        <v>API tidak tersedia, transaksi merchant gagal</v>
      </c>
      <c r="D10" s="5" t="str">
        <f>INDEX('Risk Register'!$D$6:$D$27,MATCH(LARGE('Risk Register'!$N$6:$N$27,$A10),'Risk Register'!$N$6:$N$27,0))</f>
        <v>Head of Engineering</v>
      </c>
      <c r="E10" s="8">
        <f>INDEX('Risk Register'!$J$6:$J$27,MATCH(LARGE('Risk Register'!$N$6:$N$27,$A10),'Risk Register'!$N$6:$N$27,0))</f>
        <v>16</v>
      </c>
      <c r="F10" s="7" t="str">
        <f>INDEX('Risk Register'!$K$6:$K$27,MATCH(LARGE('Risk Register'!$N$6:$N$27,$A10),'Risk Register'!$N$6:$N$27,0))</f>
        <v>Tinggi</v>
      </c>
      <c r="G10" s="5" t="str">
        <f>INDEX('Risk Register'!$L$6:$L$27,MATCH(LARGE('Risk Register'!$N$6:$N$27,$A10),'Risk Register'!$N$6:$N$27,0))</f>
        <v>Perlu ditangani</v>
      </c>
      <c r="H10" s="5" t="str">
        <f t="shared" ref="H10:H31" si="0">IF(F10="Kritis","Dalam "&amp;$D$7&amp;" hari",IF(F10="Tinggi","Dalam "&amp;$D$6&amp;" hari",IF(F10="Sedang","Tinjau tiap 6 bulan","Pantau saat tinjauan berkala")))</f>
        <v>Dalam 90 hari</v>
      </c>
      <c r="I10" s="5" t="str">
        <f t="shared" ref="I10:I31" si="1">IF(F10="Kritis","Direksi",IF(F10="Tinggi","Manajemen (risiko sisa)",IF(F10="Sedang","Pemilik risiko","Tidak perlu")))</f>
        <v>Manajemen (risiko sisa)</v>
      </c>
    </row>
    <row r="11" spans="1:9" ht="23.25" customHeight="1" x14ac:dyDescent="0.25">
      <c r="A11" s="7">
        <v>2</v>
      </c>
      <c r="B11" s="7" t="str">
        <f>INDEX('Risk Register'!$A$6:$A$27,MATCH(LARGE('Risk Register'!$N$6:$N$27,$A11),'Risk Register'!$N$6:$N$27,0))</f>
        <v>R-18</v>
      </c>
      <c r="C11" s="5" t="str">
        <f>INDEX('Risk Register'!$C$6:$C$27,MATCH(LARGE('Risk Register'!$N$6:$N$27,$A11),'Risk Register'!$N$6:$N$27,0))</f>
        <v>Karyawan menyerahkan kredensial dan penyerang masuk ke sistem</v>
      </c>
      <c r="D11" s="5" t="str">
        <f>INDEX('Risk Register'!$D$6:$D$27,MATCH(LARGE('Risk Register'!$N$6:$N$27,$A11),'Risk Register'!$N$6:$N$27,0))</f>
        <v>Head of IT Support</v>
      </c>
      <c r="E11" s="8">
        <f>INDEX('Risk Register'!$J$6:$J$27,MATCH(LARGE('Risk Register'!$N$6:$N$27,$A11),'Risk Register'!$N$6:$N$27,0))</f>
        <v>16</v>
      </c>
      <c r="F11" s="7" t="str">
        <f>INDEX('Risk Register'!$K$6:$K$27,MATCH(LARGE('Risk Register'!$N$6:$N$27,$A11),'Risk Register'!$N$6:$N$27,0))</f>
        <v>Tinggi</v>
      </c>
      <c r="G11" s="5" t="str">
        <f>INDEX('Risk Register'!$L$6:$L$27,MATCH(LARGE('Risk Register'!$N$6:$N$27,$A11),'Risk Register'!$N$6:$N$27,0))</f>
        <v>Perlu ditangani</v>
      </c>
      <c r="H11" s="5" t="str">
        <f t="shared" si="0"/>
        <v>Dalam 90 hari</v>
      </c>
      <c r="I11" s="5" t="str">
        <f t="shared" si="1"/>
        <v>Manajemen (risiko sisa)</v>
      </c>
    </row>
    <row r="12" spans="1:9" ht="34.5" customHeight="1" x14ac:dyDescent="0.25">
      <c r="A12" s="7">
        <v>3</v>
      </c>
      <c r="B12" s="7" t="str">
        <f>INDEX('Risk Register'!$A$6:$A$27,MATCH(LARGE('Risk Register'!$N$6:$N$27,$A12),'Risk Register'!$N$6:$N$27,0))</f>
        <v>R-07</v>
      </c>
      <c r="C12" s="5" t="str">
        <f>INDEX('Risk Register'!$C$6:$C$27,MATCH(LARGE('Risk Register'!$N$6:$N$27,$A12),'Risk Register'!$N$6:$N$27,0))</f>
        <v>Kode atau pipeline diubah tanpa izin sehingga kode berbahaya masuk ke produksi dan dana atau data pengguna disalahgunakan</v>
      </c>
      <c r="D12" s="5" t="str">
        <f>INDEX('Risk Register'!$D$6:$D$27,MATCH(LARGE('Risk Register'!$N$6:$N$27,$A12),'Risk Register'!$N$6:$N$27,0))</f>
        <v>Head of Engineering</v>
      </c>
      <c r="E12" s="8">
        <f>INDEX('Risk Register'!$J$6:$J$27,MATCH(LARGE('Risk Register'!$N$6:$N$27,$A12),'Risk Register'!$N$6:$N$27,0))</f>
        <v>15</v>
      </c>
      <c r="F12" s="7" t="str">
        <f>INDEX('Risk Register'!$K$6:$K$27,MATCH(LARGE('Risk Register'!$N$6:$N$27,$A12),'Risk Register'!$N$6:$N$27,0))</f>
        <v>Tinggi</v>
      </c>
      <c r="G12" s="5" t="str">
        <f>INDEX('Risk Register'!$L$6:$L$27,MATCH(LARGE('Risk Register'!$N$6:$N$27,$A12),'Risk Register'!$N$6:$N$27,0))</f>
        <v>Perlu ditangani</v>
      </c>
      <c r="H12" s="5" t="str">
        <f t="shared" si="0"/>
        <v>Dalam 90 hari</v>
      </c>
      <c r="I12" s="5" t="str">
        <f t="shared" si="1"/>
        <v>Manajemen (risiko sisa)</v>
      </c>
    </row>
    <row r="13" spans="1:9" ht="23.25" customHeight="1" x14ac:dyDescent="0.25">
      <c r="A13" s="7">
        <v>4</v>
      </c>
      <c r="B13" s="7" t="str">
        <f>INDEX('Risk Register'!$A$6:$A$27,MATCH(LARGE('Risk Register'!$N$6:$N$27,$A13),'Risk Register'!$N$6:$N$27,0))</f>
        <v>R-01</v>
      </c>
      <c r="C13" s="5" t="str">
        <f>INDEX('Risk Register'!$C$6:$C$27,MATCH(LARGE('Risk Register'!$N$6:$N$27,$A13),'Risk Register'!$N$6:$N$27,0))</f>
        <v>Data transaksi dicuri atau dimanipulasi lewat celah aplikasi</v>
      </c>
      <c r="D13" s="5" t="str">
        <f>INDEX('Risk Register'!$D$6:$D$27,MATCH(LARGE('Risk Register'!$N$6:$N$27,$A13),'Risk Register'!$N$6:$N$27,0))</f>
        <v>Head of Engineering</v>
      </c>
      <c r="E13" s="8">
        <f>INDEX('Risk Register'!$J$6:$J$27,MATCH(LARGE('Risk Register'!$N$6:$N$27,$A13),'Risk Register'!$N$6:$N$27,0))</f>
        <v>12</v>
      </c>
      <c r="F13" s="7" t="str">
        <f>INDEX('Risk Register'!$K$6:$K$27,MATCH(LARGE('Risk Register'!$N$6:$N$27,$A13),'Risk Register'!$N$6:$N$27,0))</f>
        <v>Tinggi</v>
      </c>
      <c r="G13" s="5" t="str">
        <f>INDEX('Risk Register'!$L$6:$L$27,MATCH(LARGE('Risk Register'!$N$6:$N$27,$A13),'Risk Register'!$N$6:$N$27,0))</f>
        <v>Perlu ditangani</v>
      </c>
      <c r="H13" s="5" t="str">
        <f t="shared" si="0"/>
        <v>Dalam 90 hari</v>
      </c>
      <c r="I13" s="5" t="str">
        <f t="shared" si="1"/>
        <v>Manajemen (risiko sisa)</v>
      </c>
    </row>
    <row r="14" spans="1:9" ht="23.25" customHeight="1" x14ac:dyDescent="0.25">
      <c r="A14" s="7">
        <v>5</v>
      </c>
      <c r="B14" s="7" t="str">
        <f>INDEX('Risk Register'!$A$6:$A$27,MATCH(LARGE('Risk Register'!$N$6:$N$27,$A14),'Risk Register'!$N$6:$N$27,0))</f>
        <v>R-02</v>
      </c>
      <c r="C14" s="5" t="str">
        <f>INDEX('Risk Register'!$C$6:$C$27,MATCH(LARGE('Risk Register'!$N$6:$N$27,$A14),'Risk Register'!$N$6:$N$27,0))</f>
        <v>Data KTP dan swafoto pengguna bocor atau disalahgunakan</v>
      </c>
      <c r="D14" s="5" t="str">
        <f>INDEX('Risk Register'!$D$6:$D$27,MATCH(LARGE('Risk Register'!$N$6:$N$27,$A14),'Risk Register'!$N$6:$N$27,0))</f>
        <v>Compliance Officer</v>
      </c>
      <c r="E14" s="8">
        <f>INDEX('Risk Register'!$J$6:$J$27,MATCH(LARGE('Risk Register'!$N$6:$N$27,$A14),'Risk Register'!$N$6:$N$27,0))</f>
        <v>12</v>
      </c>
      <c r="F14" s="7" t="str">
        <f>INDEX('Risk Register'!$K$6:$K$27,MATCH(LARGE('Risk Register'!$N$6:$N$27,$A14),'Risk Register'!$N$6:$N$27,0))</f>
        <v>Tinggi</v>
      </c>
      <c r="G14" s="5" t="str">
        <f>INDEX('Risk Register'!$L$6:$L$27,MATCH(LARGE('Risk Register'!$N$6:$N$27,$A14),'Risk Register'!$N$6:$N$27,0))</f>
        <v>Perlu ditangani</v>
      </c>
      <c r="H14" s="5" t="str">
        <f t="shared" si="0"/>
        <v>Dalam 90 hari</v>
      </c>
      <c r="I14" s="5" t="str">
        <f t="shared" si="1"/>
        <v>Manajemen (risiko sisa)</v>
      </c>
    </row>
    <row r="15" spans="1:9" ht="23.25" customHeight="1" x14ac:dyDescent="0.25">
      <c r="A15" s="7">
        <v>6</v>
      </c>
      <c r="B15" s="7" t="str">
        <f>INDEX('Risk Register'!$A$6:$A$27,MATCH(LARGE('Risk Register'!$N$6:$N$27,$A15),'Risk Register'!$N$6:$N$27,0))</f>
        <v>R-05</v>
      </c>
      <c r="C15" s="5" t="str">
        <f>INDEX('Risk Register'!$C$6:$C$27,MATCH(LARGE('Risk Register'!$N$6:$N$27,$A15),'Risk Register'!$N$6:$N$27,0))</f>
        <v>Kunci jatuh ke penyerang sehingga data terenkripsi bisa dibuka</v>
      </c>
      <c r="D15" s="5" t="str">
        <f>INDEX('Risk Register'!$D$6:$D$27,MATCH(LARGE('Risk Register'!$N$6:$N$27,$A15),'Risk Register'!$N$6:$N$27,0))</f>
        <v>Head of Security</v>
      </c>
      <c r="E15" s="8">
        <f>INDEX('Risk Register'!$J$6:$J$27,MATCH(LARGE('Risk Register'!$N$6:$N$27,$A15),'Risk Register'!$N$6:$N$27,0))</f>
        <v>12</v>
      </c>
      <c r="F15" s="7" t="str">
        <f>INDEX('Risk Register'!$K$6:$K$27,MATCH(LARGE('Risk Register'!$N$6:$N$27,$A15),'Risk Register'!$N$6:$N$27,0))</f>
        <v>Tinggi</v>
      </c>
      <c r="G15" s="5" t="str">
        <f>INDEX('Risk Register'!$L$6:$L$27,MATCH(LARGE('Risk Register'!$N$6:$N$27,$A15),'Risk Register'!$N$6:$N$27,0))</f>
        <v>Perlu ditangani</v>
      </c>
      <c r="H15" s="5" t="str">
        <f t="shared" si="0"/>
        <v>Dalam 90 hari</v>
      </c>
      <c r="I15" s="5" t="str">
        <f t="shared" si="1"/>
        <v>Manajemen (risiko sisa)</v>
      </c>
    </row>
    <row r="16" spans="1:9" ht="15" customHeight="1" x14ac:dyDescent="0.25">
      <c r="A16" s="7">
        <v>7</v>
      </c>
      <c r="B16" s="7" t="str">
        <f>INDEX('Risk Register'!$A$6:$A$27,MATCH(LARGE('Risk Register'!$N$6:$N$27,$A16),'Risk Register'!$N$6:$N$27,0))</f>
        <v>R-11</v>
      </c>
      <c r="C16" s="5" t="str">
        <f>INDEX('Risk Register'!$C$6:$C$27,MATCH(LARGE('Risk Register'!$N$6:$N$27,$A16),'Risk Register'!$N$6:$N$27,0))</f>
        <v>Penyerang mengakses transaksi merchant lain</v>
      </c>
      <c r="D16" s="5" t="str">
        <f>INDEX('Risk Register'!$D$6:$D$27,MATCH(LARGE('Risk Register'!$N$6:$N$27,$A16),'Risk Register'!$N$6:$N$27,0))</f>
        <v>Head of Engineering</v>
      </c>
      <c r="E16" s="8">
        <f>INDEX('Risk Register'!$J$6:$J$27,MATCH(LARGE('Risk Register'!$N$6:$N$27,$A16),'Risk Register'!$N$6:$N$27,0))</f>
        <v>12</v>
      </c>
      <c r="F16" s="7" t="str">
        <f>INDEX('Risk Register'!$K$6:$K$27,MATCH(LARGE('Risk Register'!$N$6:$N$27,$A16),'Risk Register'!$N$6:$N$27,0))</f>
        <v>Tinggi</v>
      </c>
      <c r="G16" s="5" t="str">
        <f>INDEX('Risk Register'!$L$6:$L$27,MATCH(LARGE('Risk Register'!$N$6:$N$27,$A16),'Risk Register'!$N$6:$N$27,0))</f>
        <v>Perlu ditangani</v>
      </c>
      <c r="H16" s="5" t="str">
        <f t="shared" si="0"/>
        <v>Dalam 90 hari</v>
      </c>
      <c r="I16" s="5" t="str">
        <f t="shared" si="1"/>
        <v>Manajemen (risiko sisa)</v>
      </c>
    </row>
    <row r="17" spans="1:9" ht="15" customHeight="1" x14ac:dyDescent="0.25">
      <c r="A17" s="7">
        <v>8</v>
      </c>
      <c r="B17" s="7" t="str">
        <f>INDEX('Risk Register'!$A$6:$A$27,MATCH(LARGE('Risk Register'!$N$6:$N$27,$A17),'Risk Register'!$N$6:$N$27,0))</f>
        <v>R-12</v>
      </c>
      <c r="C17" s="5" t="str">
        <f>INDEX('Risk Register'!$C$6:$C$27,MATCH(LARGE('Risk Register'!$N$6:$N$27,$A17),'Risk Register'!$N$6:$N$27,0))</f>
        <v>Akun merchant diambil alih dan dana dialihkan</v>
      </c>
      <c r="D17" s="5" t="str">
        <f>INDEX('Risk Register'!$D$6:$D$27,MATCH(LARGE('Risk Register'!$N$6:$N$27,$A17),'Risk Register'!$N$6:$N$27,0))</f>
        <v>Product Owner</v>
      </c>
      <c r="E17" s="8">
        <f>INDEX('Risk Register'!$J$6:$J$27,MATCH(LARGE('Risk Register'!$N$6:$N$27,$A17),'Risk Register'!$N$6:$N$27,0))</f>
        <v>12</v>
      </c>
      <c r="F17" s="7" t="str">
        <f>INDEX('Risk Register'!$K$6:$K$27,MATCH(LARGE('Risk Register'!$N$6:$N$27,$A17),'Risk Register'!$N$6:$N$27,0))</f>
        <v>Tinggi</v>
      </c>
      <c r="G17" s="5" t="str">
        <f>INDEX('Risk Register'!$L$6:$L$27,MATCH(LARGE('Risk Register'!$N$6:$N$27,$A17),'Risk Register'!$N$6:$N$27,0))</f>
        <v>Perlu ditangani</v>
      </c>
      <c r="H17" s="5" t="str">
        <f t="shared" si="0"/>
        <v>Dalam 90 hari</v>
      </c>
      <c r="I17" s="5" t="str">
        <f t="shared" si="1"/>
        <v>Manajemen (risiko sisa)</v>
      </c>
    </row>
    <row r="18" spans="1:9" ht="15" customHeight="1" x14ac:dyDescent="0.25">
      <c r="A18" s="7">
        <v>9</v>
      </c>
      <c r="B18" s="7" t="str">
        <f>INDEX('Risk Register'!$A$6:$A$27,MATCH(LARGE('Risk Register'!$N$6:$N$27,$A18),'Risk Register'!$N$6:$N$27,0))</f>
        <v>R-03</v>
      </c>
      <c r="C18" s="5" t="str">
        <f>INDEX('Risk Register'!$C$6:$C$27,MATCH(LARGE('Risk Register'!$N$6:$N$27,$A18),'Risk Register'!$N$6:$N$27,0))</f>
        <v>File KYC terekspos ke internet</v>
      </c>
      <c r="D18" s="5" t="str">
        <f>INDEX('Risk Register'!$D$6:$D$27,MATCH(LARGE('Risk Register'!$N$6:$N$27,$A18),'Risk Register'!$N$6:$N$27,0))</f>
        <v>Head of Infrastructure</v>
      </c>
      <c r="E18" s="8">
        <f>INDEX('Risk Register'!$J$6:$J$27,MATCH(LARGE('Risk Register'!$N$6:$N$27,$A18),'Risk Register'!$N$6:$N$27,0))</f>
        <v>10</v>
      </c>
      <c r="F18" s="7" t="str">
        <f>INDEX('Risk Register'!$K$6:$K$27,MATCH(LARGE('Risk Register'!$N$6:$N$27,$A18),'Risk Register'!$N$6:$N$27,0))</f>
        <v>Tinggi</v>
      </c>
      <c r="G18" s="5" t="str">
        <f>INDEX('Risk Register'!$L$6:$L$27,MATCH(LARGE('Risk Register'!$N$6:$N$27,$A18),'Risk Register'!$N$6:$N$27,0))</f>
        <v>Perlu ditangani</v>
      </c>
      <c r="H18" s="5" t="str">
        <f t="shared" si="0"/>
        <v>Dalam 90 hari</v>
      </c>
      <c r="I18" s="5" t="str">
        <f t="shared" si="1"/>
        <v>Manajemen (risiko sisa)</v>
      </c>
    </row>
    <row r="19" spans="1:9" ht="15" customHeight="1" x14ac:dyDescent="0.25">
      <c r="A19" s="7">
        <v>10</v>
      </c>
      <c r="B19" s="7" t="str">
        <f>INDEX('Risk Register'!$A$6:$A$27,MATCH(LARGE('Risk Register'!$N$6:$N$27,$A19),'Risk Register'!$N$6:$N$27,0))</f>
        <v>R-04</v>
      </c>
      <c r="C19" s="5" t="str">
        <f>INDEX('Risk Register'!$C$6:$C$27,MATCH(LARGE('Risk Register'!$N$6:$N$27,$A19),'Risk Register'!$N$6:$N$27,0))</f>
        <v>Saldo atau mutasi diubah tanpa terdeteksi</v>
      </c>
      <c r="D19" s="5" t="str">
        <f>INDEX('Risk Register'!$D$6:$D$27,MATCH(LARGE('Risk Register'!$N$6:$N$27,$A19),'Risk Register'!$N$6:$N$27,0))</f>
        <v>Head of Finance Operations</v>
      </c>
      <c r="E19" s="8">
        <f>INDEX('Risk Register'!$J$6:$J$27,MATCH(LARGE('Risk Register'!$N$6:$N$27,$A19),'Risk Register'!$N$6:$N$27,0))</f>
        <v>10</v>
      </c>
      <c r="F19" s="7" t="str">
        <f>INDEX('Risk Register'!$K$6:$K$27,MATCH(LARGE('Risk Register'!$N$6:$N$27,$A19),'Risk Register'!$N$6:$N$27,0))</f>
        <v>Tinggi</v>
      </c>
      <c r="G19" s="5" t="str">
        <f>INDEX('Risk Register'!$L$6:$L$27,MATCH(LARGE('Risk Register'!$N$6:$N$27,$A19),'Risk Register'!$N$6:$N$27,0))</f>
        <v>Perlu ditangani</v>
      </c>
      <c r="H19" s="5" t="str">
        <f t="shared" si="0"/>
        <v>Dalam 90 hari</v>
      </c>
      <c r="I19" s="5" t="str">
        <f t="shared" si="1"/>
        <v>Manajemen (risiko sisa)</v>
      </c>
    </row>
    <row r="20" spans="1:9" ht="15" customHeight="1" x14ac:dyDescent="0.25">
      <c r="A20" s="7">
        <v>11</v>
      </c>
      <c r="B20" s="7" t="str">
        <f>INDEX('Risk Register'!$A$6:$A$27,MATCH(LARGE('Risk Register'!$N$6:$N$27,$A20),'Risk Register'!$N$6:$N$27,0))</f>
        <v>R-15</v>
      </c>
      <c r="C20" s="5" t="str">
        <f>INDEX('Risk Register'!$C$6:$C$27,MATCH(LARGE('Risk Register'!$N$6:$N$27,$A20),'Risk Register'!$N$6:$N$27,0))</f>
        <v>Data produksi terenkripsi dan backup ikut rusak</v>
      </c>
      <c r="D20" s="5" t="str">
        <f>INDEX('Risk Register'!$D$6:$D$27,MATCH(LARGE('Risk Register'!$N$6:$N$27,$A20),'Risk Register'!$N$6:$N$27,0))</f>
        <v>Head of Infrastructure</v>
      </c>
      <c r="E20" s="8">
        <f>INDEX('Risk Register'!$J$6:$J$27,MATCH(LARGE('Risk Register'!$N$6:$N$27,$A20),'Risk Register'!$N$6:$N$27,0))</f>
        <v>10</v>
      </c>
      <c r="F20" s="7" t="str">
        <f>INDEX('Risk Register'!$K$6:$K$27,MATCH(LARGE('Risk Register'!$N$6:$N$27,$A20),'Risk Register'!$N$6:$N$27,0))</f>
        <v>Tinggi</v>
      </c>
      <c r="G20" s="5" t="str">
        <f>INDEX('Risk Register'!$L$6:$L$27,MATCH(LARGE('Risk Register'!$N$6:$N$27,$A20),'Risk Register'!$N$6:$N$27,0))</f>
        <v>Perlu ditangani</v>
      </c>
      <c r="H20" s="5" t="str">
        <f t="shared" si="0"/>
        <v>Dalam 90 hari</v>
      </c>
      <c r="I20" s="5" t="str">
        <f t="shared" si="1"/>
        <v>Manajemen (risiko sisa)</v>
      </c>
    </row>
    <row r="21" spans="1:9" ht="15" customHeight="1" x14ac:dyDescent="0.25">
      <c r="A21" s="7">
        <v>12</v>
      </c>
      <c r="B21" s="7" t="str">
        <f>INDEX('Risk Register'!$A$6:$A$27,MATCH(LARGE('Risk Register'!$N$6:$N$27,$A21),'Risk Register'!$N$6:$N$27,0))</f>
        <v>R-20</v>
      </c>
      <c r="C21" s="5" t="str">
        <f>INDEX('Risk Register'!$C$6:$C$27,MATCH(LARGE('Risk Register'!$N$6:$N$27,$A21),'Risk Register'!$N$6:$N$27,0))</f>
        <v>Data KYC pengguna bocor dari penyedia</v>
      </c>
      <c r="D21" s="5" t="str">
        <f>INDEX('Risk Register'!$D$6:$D$27,MATCH(LARGE('Risk Register'!$N$6:$N$27,$A21),'Risk Register'!$N$6:$N$27,0))</f>
        <v>Compliance Officer</v>
      </c>
      <c r="E21" s="8">
        <f>INDEX('Risk Register'!$J$6:$J$27,MATCH(LARGE('Risk Register'!$N$6:$N$27,$A21),'Risk Register'!$N$6:$N$27,0))</f>
        <v>10</v>
      </c>
      <c r="F21" s="7" t="str">
        <f>INDEX('Risk Register'!$K$6:$K$27,MATCH(LARGE('Risk Register'!$N$6:$N$27,$A21),'Risk Register'!$N$6:$N$27,0))</f>
        <v>Tinggi</v>
      </c>
      <c r="G21" s="5" t="str">
        <f>INDEX('Risk Register'!$L$6:$L$27,MATCH(LARGE('Risk Register'!$N$6:$N$27,$A21),'Risk Register'!$N$6:$N$27,0))</f>
        <v>Perlu ditangani</v>
      </c>
      <c r="H21" s="5" t="str">
        <f t="shared" si="0"/>
        <v>Dalam 90 hari</v>
      </c>
      <c r="I21" s="5" t="str">
        <f t="shared" si="1"/>
        <v>Manajemen (risiko sisa)</v>
      </c>
    </row>
    <row r="22" spans="1:9" ht="23.25" customHeight="1" x14ac:dyDescent="0.25">
      <c r="A22" s="7">
        <v>13</v>
      </c>
      <c r="B22" s="7" t="str">
        <f>INDEX('Risk Register'!$A$6:$A$27,MATCH(LARGE('Risk Register'!$N$6:$N$27,$A22),'Risk Register'!$N$6:$N$27,0))</f>
        <v>R-06</v>
      </c>
      <c r="C22" s="5" t="str">
        <f>INDEX('Risk Register'!$C$6:$C$27,MATCH(LARGE('Risk Register'!$N$6:$N$27,$A22),'Risk Register'!$N$6:$N$27,0))</f>
        <v>Kode sumber bocor sehingga celah aplikasi dan logika bisnis terlihat pihak yang tidak berwenang</v>
      </c>
      <c r="D22" s="5" t="str">
        <f>INDEX('Risk Register'!$D$6:$D$27,MATCH(LARGE('Risk Register'!$N$6:$N$27,$A22),'Risk Register'!$N$6:$N$27,0))</f>
        <v>Head of Engineering</v>
      </c>
      <c r="E22" s="8">
        <f>INDEX('Risk Register'!$J$6:$J$27,MATCH(LARGE('Risk Register'!$N$6:$N$27,$A22),'Risk Register'!$N$6:$N$27,0))</f>
        <v>9</v>
      </c>
      <c r="F22" s="7" t="str">
        <f>INDEX('Risk Register'!$K$6:$K$27,MATCH(LARGE('Risk Register'!$N$6:$N$27,$A22),'Risk Register'!$N$6:$N$27,0))</f>
        <v>Sedang</v>
      </c>
      <c r="G22" s="5" t="str">
        <f>INDEX('Risk Register'!$L$6:$L$27,MATCH(LARGE('Risk Register'!$N$6:$N$27,$A22),'Risk Register'!$N$6:$N$27,0))</f>
        <v>Dapat diterima, perlu persetujuan pemilik risiko</v>
      </c>
      <c r="H22" s="5" t="str">
        <f t="shared" si="0"/>
        <v>Tinjau tiap 6 bulan</v>
      </c>
      <c r="I22" s="5" t="str">
        <f t="shared" si="1"/>
        <v>Pemilik risiko</v>
      </c>
    </row>
    <row r="23" spans="1:9" ht="23.25" customHeight="1" x14ac:dyDescent="0.25">
      <c r="A23" s="7">
        <v>14</v>
      </c>
      <c r="B23" s="7" t="str">
        <f>INDEX('Risk Register'!$A$6:$A$27,MATCH(LARGE('Risk Register'!$N$6:$N$27,$A23),'Risk Register'!$N$6:$N$27,0))</f>
        <v>R-09</v>
      </c>
      <c r="C23" s="5" t="str">
        <f>INDEX('Risk Register'!$C$6:$C$27,MATCH(LARGE('Risk Register'!$N$6:$N$27,$A23),'Risk Register'!$N$6:$N$27,0))</f>
        <v>Aplikasi palsu mencuri kredensial pengguna</v>
      </c>
      <c r="D23" s="5" t="str">
        <f>INDEX('Risk Register'!$D$6:$D$27,MATCH(LARGE('Risk Register'!$N$6:$N$27,$A23),'Risk Register'!$N$6:$N$27,0))</f>
        <v>Product Owner</v>
      </c>
      <c r="E23" s="8">
        <f>INDEX('Risk Register'!$J$6:$J$27,MATCH(LARGE('Risk Register'!$N$6:$N$27,$A23),'Risk Register'!$N$6:$N$27,0))</f>
        <v>9</v>
      </c>
      <c r="F23" s="7" t="str">
        <f>INDEX('Risk Register'!$K$6:$K$27,MATCH(LARGE('Risk Register'!$N$6:$N$27,$A23),'Risk Register'!$N$6:$N$27,0))</f>
        <v>Sedang</v>
      </c>
      <c r="G23" s="5" t="str">
        <f>INDEX('Risk Register'!$L$6:$L$27,MATCH(LARGE('Risk Register'!$N$6:$N$27,$A23),'Risk Register'!$N$6:$N$27,0))</f>
        <v>Dapat diterima, perlu persetujuan pemilik risiko</v>
      </c>
      <c r="H23" s="5" t="str">
        <f t="shared" si="0"/>
        <v>Tinjau tiap 6 bulan</v>
      </c>
      <c r="I23" s="5" t="str">
        <f t="shared" si="1"/>
        <v>Pemilik risiko</v>
      </c>
    </row>
    <row r="24" spans="1:9" ht="23.25" customHeight="1" x14ac:dyDescent="0.25">
      <c r="A24" s="7">
        <v>15</v>
      </c>
      <c r="B24" s="7" t="str">
        <f>INDEX('Risk Register'!$A$6:$A$27,MATCH(LARGE('Risk Register'!$N$6:$N$27,$A24),'Risk Register'!$N$6:$N$27,0))</f>
        <v>R-13</v>
      </c>
      <c r="C24" s="5" t="str">
        <f>INDEX('Risk Register'!$C$6:$C$27,MATCH(LARGE('Risk Register'!$N$6:$N$27,$A24),'Risk Register'!$N$6:$N$27,0))</f>
        <v>Insiden tidak terdeteksi atau tidak bisa diselidiki</v>
      </c>
      <c r="D24" s="5" t="str">
        <f>INDEX('Risk Register'!$D$6:$D$27,MATCH(LARGE('Risk Register'!$N$6:$N$27,$A24),'Risk Register'!$N$6:$N$27,0))</f>
        <v>Head of Security</v>
      </c>
      <c r="E24" s="8">
        <f>INDEX('Risk Register'!$J$6:$J$27,MATCH(LARGE('Risk Register'!$N$6:$N$27,$A24),'Risk Register'!$N$6:$N$27,0))</f>
        <v>9</v>
      </c>
      <c r="F24" s="7" t="str">
        <f>INDEX('Risk Register'!$K$6:$K$27,MATCH(LARGE('Risk Register'!$N$6:$N$27,$A24),'Risk Register'!$N$6:$N$27,0))</f>
        <v>Sedang</v>
      </c>
      <c r="G24" s="5" t="str">
        <f>INDEX('Risk Register'!$L$6:$L$27,MATCH(LARGE('Risk Register'!$N$6:$N$27,$A24),'Risk Register'!$N$6:$N$27,0))</f>
        <v>Dapat diterima, perlu persetujuan pemilik risiko</v>
      </c>
      <c r="H24" s="5" t="str">
        <f t="shared" si="0"/>
        <v>Tinjau tiap 6 bulan</v>
      </c>
      <c r="I24" s="5" t="str">
        <f t="shared" si="1"/>
        <v>Pemilik risiko</v>
      </c>
    </row>
    <row r="25" spans="1:9" ht="23.25" customHeight="1" x14ac:dyDescent="0.25">
      <c r="A25" s="7">
        <v>16</v>
      </c>
      <c r="B25" s="7" t="str">
        <f>INDEX('Risk Register'!$A$6:$A$27,MATCH(LARGE('Risk Register'!$N$6:$N$27,$A25),'Risk Register'!$N$6:$N$27,0))</f>
        <v>R-17</v>
      </c>
      <c r="C25" s="5" t="str">
        <f>INDEX('Risk Register'!$C$6:$C$27,MATCH(LARGE('Risk Register'!$N$6:$N$27,$A25),'Risk Register'!$N$6:$N$27,0))</f>
        <v>Data perusahaan bocor dari laptop</v>
      </c>
      <c r="D25" s="5" t="str">
        <f>INDEX('Risk Register'!$D$6:$D$27,MATCH(LARGE('Risk Register'!$N$6:$N$27,$A25),'Risk Register'!$N$6:$N$27,0))</f>
        <v>Head of IT Support</v>
      </c>
      <c r="E25" s="8">
        <f>INDEX('Risk Register'!$J$6:$J$27,MATCH(LARGE('Risk Register'!$N$6:$N$27,$A25),'Risk Register'!$N$6:$N$27,0))</f>
        <v>9</v>
      </c>
      <c r="F25" s="7" t="str">
        <f>INDEX('Risk Register'!$K$6:$K$27,MATCH(LARGE('Risk Register'!$N$6:$N$27,$A25),'Risk Register'!$N$6:$N$27,0))</f>
        <v>Sedang</v>
      </c>
      <c r="G25" s="5" t="str">
        <f>INDEX('Risk Register'!$L$6:$L$27,MATCH(LARGE('Risk Register'!$N$6:$N$27,$A25),'Risk Register'!$N$6:$N$27,0))</f>
        <v>Dapat diterima, perlu persetujuan pemilik risiko</v>
      </c>
      <c r="H25" s="5" t="str">
        <f t="shared" si="0"/>
        <v>Tinjau tiap 6 bulan</v>
      </c>
      <c r="I25" s="5" t="str">
        <f t="shared" si="1"/>
        <v>Pemilik risiko</v>
      </c>
    </row>
    <row r="26" spans="1:9" ht="23.25" customHeight="1" x14ac:dyDescent="0.25">
      <c r="A26" s="7">
        <v>17</v>
      </c>
      <c r="B26" s="7" t="str">
        <f>INDEX('Risk Register'!$A$6:$A$27,MATCH(LARGE('Risk Register'!$N$6:$N$27,$A26),'Risk Register'!$N$6:$N$27,0))</f>
        <v>R-21</v>
      </c>
      <c r="C26" s="5" t="str">
        <f>INDEX('Risk Register'!$C$6:$C$27,MATCH(LARGE('Risk Register'!$N$6:$N$27,$A26),'Risk Register'!$N$6:$N$27,0))</f>
        <v>Pengguna tidak bisa login atau bertransaksi, atau OTP disalahgunakan</v>
      </c>
      <c r="D26" s="5" t="str">
        <f>INDEX('Risk Register'!$D$6:$D$27,MATCH(LARGE('Risk Register'!$N$6:$N$27,$A26),'Risk Register'!$N$6:$N$27,0))</f>
        <v>Head of Engineering</v>
      </c>
      <c r="E26" s="8">
        <f>INDEX('Risk Register'!$J$6:$J$27,MATCH(LARGE('Risk Register'!$N$6:$N$27,$A26),'Risk Register'!$N$6:$N$27,0))</f>
        <v>9</v>
      </c>
      <c r="F26" s="7" t="str">
        <f>INDEX('Risk Register'!$K$6:$K$27,MATCH(LARGE('Risk Register'!$N$6:$N$27,$A26),'Risk Register'!$N$6:$N$27,0))</f>
        <v>Sedang</v>
      </c>
      <c r="G26" s="5" t="str">
        <f>INDEX('Risk Register'!$L$6:$L$27,MATCH(LARGE('Risk Register'!$N$6:$N$27,$A26),'Risk Register'!$N$6:$N$27,0))</f>
        <v>Dapat diterima, perlu persetujuan pemilik risiko</v>
      </c>
      <c r="H26" s="5" t="str">
        <f t="shared" si="0"/>
        <v>Tinjau tiap 6 bulan</v>
      </c>
      <c r="I26" s="5" t="str">
        <f t="shared" si="1"/>
        <v>Pemilik risiko</v>
      </c>
    </row>
    <row r="27" spans="1:9" ht="23.25" customHeight="1" x14ac:dyDescent="0.25">
      <c r="A27" s="7">
        <v>18</v>
      </c>
      <c r="B27" s="7" t="str">
        <f>INDEX('Risk Register'!$A$6:$A$27,MATCH(LARGE('Risk Register'!$N$6:$N$27,$A27),'Risk Register'!$N$6:$N$27,0))</f>
        <v>R-22</v>
      </c>
      <c r="C27" s="5" t="str">
        <f>INDEX('Risk Register'!$C$6:$C$27,MATCH(LARGE('Risk Register'!$N$6:$N$27,$A27),'Risk Register'!$N$6:$N$27,0))</f>
        <v>Pengetahuan kritis hilang dan akses mantan karyawan masih aktif</v>
      </c>
      <c r="D27" s="5" t="str">
        <f>INDEX('Risk Register'!$D$6:$D$27,MATCH(LARGE('Risk Register'!$N$6:$N$27,$A27),'Risk Register'!$N$6:$N$27,0))</f>
        <v>Head of HR</v>
      </c>
      <c r="E27" s="8">
        <f>INDEX('Risk Register'!$J$6:$J$27,MATCH(LARGE('Risk Register'!$N$6:$N$27,$A27),'Risk Register'!$N$6:$N$27,0))</f>
        <v>9</v>
      </c>
      <c r="F27" s="7" t="str">
        <f>INDEX('Risk Register'!$K$6:$K$27,MATCH(LARGE('Risk Register'!$N$6:$N$27,$A27),'Risk Register'!$N$6:$N$27,0))</f>
        <v>Sedang</v>
      </c>
      <c r="G27" s="5" t="str">
        <f>INDEX('Risk Register'!$L$6:$L$27,MATCH(LARGE('Risk Register'!$N$6:$N$27,$A27),'Risk Register'!$N$6:$N$27,0))</f>
        <v>Dapat diterima, perlu persetujuan pemilik risiko</v>
      </c>
      <c r="H27" s="5" t="str">
        <f t="shared" si="0"/>
        <v>Tinjau tiap 6 bulan</v>
      </c>
      <c r="I27" s="5" t="str">
        <f t="shared" si="1"/>
        <v>Pemilik risiko</v>
      </c>
    </row>
    <row r="28" spans="1:9" ht="23.25" customHeight="1" x14ac:dyDescent="0.25">
      <c r="A28" s="7">
        <v>19</v>
      </c>
      <c r="B28" s="7" t="str">
        <f>INDEX('Risk Register'!$A$6:$A$27,MATCH(LARGE('Risk Register'!$N$6:$N$27,$A28),'Risk Register'!$N$6:$N$27,0))</f>
        <v>R-14</v>
      </c>
      <c r="C28" s="5" t="str">
        <f>INDEX('Risk Register'!$C$6:$C$27,MATCH(LARGE('Risk Register'!$N$6:$N$27,$A28),'Risk Register'!$N$6:$N$27,0))</f>
        <v>Layanan berhenti berjam-jam</v>
      </c>
      <c r="D28" s="5" t="str">
        <f>INDEX('Risk Register'!$D$6:$D$27,MATCH(LARGE('Risk Register'!$N$6:$N$27,$A28),'Risk Register'!$N$6:$N$27,0))</f>
        <v>Head of Infrastructure</v>
      </c>
      <c r="E28" s="8">
        <f>INDEX('Risk Register'!$J$6:$J$27,MATCH(LARGE('Risk Register'!$N$6:$N$27,$A28),'Risk Register'!$N$6:$N$27,0))</f>
        <v>8</v>
      </c>
      <c r="F28" s="7" t="str">
        <f>INDEX('Risk Register'!$K$6:$K$27,MATCH(LARGE('Risk Register'!$N$6:$N$27,$A28),'Risk Register'!$N$6:$N$27,0))</f>
        <v>Sedang</v>
      </c>
      <c r="G28" s="5" t="str">
        <f>INDEX('Risk Register'!$L$6:$L$27,MATCH(LARGE('Risk Register'!$N$6:$N$27,$A28),'Risk Register'!$N$6:$N$27,0))</f>
        <v>Dapat diterima, perlu persetujuan pemilik risiko</v>
      </c>
      <c r="H28" s="5" t="str">
        <f t="shared" si="0"/>
        <v>Tinjau tiap 6 bulan</v>
      </c>
      <c r="I28" s="5" t="str">
        <f t="shared" si="1"/>
        <v>Pemilik risiko</v>
      </c>
    </row>
    <row r="29" spans="1:9" ht="23.25" customHeight="1" x14ac:dyDescent="0.25">
      <c r="A29" s="7">
        <v>20</v>
      </c>
      <c r="B29" s="7" t="str">
        <f>INDEX('Risk Register'!$A$6:$A$27,MATCH(LARGE('Risk Register'!$N$6:$N$27,$A29),'Risk Register'!$N$6:$N$27,0))</f>
        <v>R-19</v>
      </c>
      <c r="C29" s="5" t="str">
        <f>INDEX('Risk Register'!$C$6:$C$27,MATCH(LARGE('Risk Register'!$N$6:$N$27,$A29),'Risk Register'!$N$6:$N$27,0))</f>
        <v>Transaksi tertahan atau disusupi</v>
      </c>
      <c r="D29" s="5" t="str">
        <f>INDEX('Risk Register'!$D$6:$D$27,MATCH(LARGE('Risk Register'!$N$6:$N$27,$A29),'Risk Register'!$N$6:$N$27,0))</f>
        <v>Head of Partnership</v>
      </c>
      <c r="E29" s="8">
        <f>INDEX('Risk Register'!$J$6:$J$27,MATCH(LARGE('Risk Register'!$N$6:$N$27,$A29),'Risk Register'!$N$6:$N$27,0))</f>
        <v>8</v>
      </c>
      <c r="F29" s="7" t="str">
        <f>INDEX('Risk Register'!$K$6:$K$27,MATCH(LARGE('Risk Register'!$N$6:$N$27,$A29),'Risk Register'!$N$6:$N$27,0))</f>
        <v>Sedang</v>
      </c>
      <c r="G29" s="5" t="str">
        <f>INDEX('Risk Register'!$L$6:$L$27,MATCH(LARGE('Risk Register'!$N$6:$N$27,$A29),'Risk Register'!$N$6:$N$27,0))</f>
        <v>Dapat diterima, perlu persetujuan pemilik risiko</v>
      </c>
      <c r="H29" s="5" t="str">
        <f t="shared" si="0"/>
        <v>Tinjau tiap 6 bulan</v>
      </c>
      <c r="I29" s="5" t="str">
        <f t="shared" si="1"/>
        <v>Pemilik risiko</v>
      </c>
    </row>
    <row r="30" spans="1:9" ht="23.25" customHeight="1" x14ac:dyDescent="0.25">
      <c r="A30" s="7">
        <v>21</v>
      </c>
      <c r="B30" s="7" t="str">
        <f>INDEX('Risk Register'!$A$6:$A$27,MATCH(LARGE('Risk Register'!$N$6:$N$27,$A30),'Risk Register'!$N$6:$N$27,0))</f>
        <v>R-16</v>
      </c>
      <c r="C30" s="5" t="str">
        <f>INDEX('Risk Register'!$C$6:$C$27,MATCH(LARGE('Risk Register'!$N$6:$N$27,$A30),'Risk Register'!$N$6:$N$27,0))</f>
        <v>Penyerang di jaringan kantor menjangkau sistem internal</v>
      </c>
      <c r="D30" s="5" t="str">
        <f>INDEX('Risk Register'!$D$6:$D$27,MATCH(LARGE('Risk Register'!$N$6:$N$27,$A30),'Risk Register'!$N$6:$N$27,0))</f>
        <v>Head of Infrastructure</v>
      </c>
      <c r="E30" s="8">
        <f>INDEX('Risk Register'!$J$6:$J$27,MATCH(LARGE('Risk Register'!$N$6:$N$27,$A30),'Risk Register'!$N$6:$N$27,0))</f>
        <v>6</v>
      </c>
      <c r="F30" s="7" t="str">
        <f>INDEX('Risk Register'!$K$6:$K$27,MATCH(LARGE('Risk Register'!$N$6:$N$27,$A30),'Risk Register'!$N$6:$N$27,0))</f>
        <v>Sedang</v>
      </c>
      <c r="G30" s="5" t="str">
        <f>INDEX('Risk Register'!$L$6:$L$27,MATCH(LARGE('Risk Register'!$N$6:$N$27,$A30),'Risk Register'!$N$6:$N$27,0))</f>
        <v>Dapat diterima, perlu persetujuan pemilik risiko</v>
      </c>
      <c r="H30" s="5" t="str">
        <f t="shared" si="0"/>
        <v>Tinjau tiap 6 bulan</v>
      </c>
      <c r="I30" s="5" t="str">
        <f t="shared" si="1"/>
        <v>Pemilik risiko</v>
      </c>
    </row>
    <row r="31" spans="1:9" ht="23.25" customHeight="1" x14ac:dyDescent="0.25">
      <c r="A31" s="7">
        <v>22</v>
      </c>
      <c r="B31" s="7" t="str">
        <f>INDEX('Risk Register'!$A$6:$A$27,MATCH(LARGE('Risk Register'!$N$6:$N$27,$A31),'Risk Register'!$N$6:$N$27,0))</f>
        <v>R-08</v>
      </c>
      <c r="C31" s="5" t="str">
        <f>INDEX('Risk Register'!$C$6:$C$27,MATCH(LARGE('Risk Register'!$N$6:$N$27,$A31),'Risk Register'!$N$6:$N$27,0))</f>
        <v>Kebijakan usang atau berubah tanpa persetujuan, kewajiban hukum terlewat</v>
      </c>
      <c r="D31" s="5" t="str">
        <f>INDEX('Risk Register'!$D$6:$D$27,MATCH(LARGE('Risk Register'!$N$6:$N$27,$A31),'Risk Register'!$N$6:$N$27,0))</f>
        <v>Compliance Officer</v>
      </c>
      <c r="E31" s="8">
        <f>INDEX('Risk Register'!$J$6:$J$27,MATCH(LARGE('Risk Register'!$N$6:$N$27,$A31),'Risk Register'!$N$6:$N$27,0))</f>
        <v>6</v>
      </c>
      <c r="F31" s="7" t="str">
        <f>INDEX('Risk Register'!$K$6:$K$27,MATCH(LARGE('Risk Register'!$N$6:$N$27,$A31),'Risk Register'!$N$6:$N$27,0))</f>
        <v>Sedang</v>
      </c>
      <c r="G31" s="5" t="str">
        <f>INDEX('Risk Register'!$L$6:$L$27,MATCH(LARGE('Risk Register'!$N$6:$N$27,$A31),'Risk Register'!$N$6:$N$27,0))</f>
        <v>Dapat diterima, perlu persetujuan pemilik risiko</v>
      </c>
      <c r="H31" s="5" t="str">
        <f t="shared" si="0"/>
        <v>Tinjau tiap 6 bulan</v>
      </c>
      <c r="I31" s="5" t="str">
        <f t="shared" si="1"/>
        <v>Pemilik risiko</v>
      </c>
    </row>
    <row r="33" spans="1:1" ht="15" customHeight="1" x14ac:dyDescent="0.25">
      <c r="A33" s="11" t="s">
        <v>119</v>
      </c>
    </row>
  </sheetData>
  <conditionalFormatting sqref="F10:F31">
    <cfRule type="expression" dxfId="17" priority="2">
      <formula>$F10="Rendah"</formula>
    </cfRule>
    <cfRule type="expression" dxfId="16" priority="3">
      <formula>$F10="Sedang"</formula>
    </cfRule>
    <cfRule type="expression" dxfId="15" priority="4">
      <formula>$F10="Tinggi"</formula>
    </cfRule>
    <cfRule type="expression" dxfId="14" priority="5">
      <formula>$F10="Kritis"</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34"/>
  <sheetViews>
    <sheetView zoomScaleNormal="100" workbookViewId="0">
      <pane xSplit="3" ySplit="9" topLeftCell="D10" activePane="bottomRight" state="frozen"/>
      <selection pane="topRight" activeCell="D1" sqref="D1"/>
      <selection pane="bottomLeft" activeCell="A10" sqref="A10"/>
      <selection pane="bottomRight" activeCell="D7" sqref="D7"/>
    </sheetView>
  </sheetViews>
  <sheetFormatPr defaultColWidth="8.7109375" defaultRowHeight="15" x14ac:dyDescent="0.25"/>
  <cols>
    <col min="1" max="1" width="8" customWidth="1"/>
    <col min="2" max="2" width="10" customWidth="1"/>
    <col min="3" max="3" width="40" customWidth="1"/>
    <col min="4" max="4" width="8" customWidth="1"/>
    <col min="5" max="5" width="10" customWidth="1"/>
    <col min="6" max="6" width="11" customWidth="1"/>
    <col min="7" max="7" width="18" customWidth="1"/>
    <col min="8" max="8" width="22" customWidth="1"/>
    <col min="9" max="9" width="52" customWidth="1"/>
    <col min="10" max="10" width="46" customWidth="1"/>
    <col min="11" max="11" width="22" customWidth="1"/>
    <col min="12" max="12" width="14" customWidth="1"/>
    <col min="13" max="13" width="12" customWidth="1"/>
    <col min="14" max="14" width="10" customWidth="1"/>
    <col min="15" max="15" width="8" customWidth="1"/>
    <col min="16" max="16" width="10" customWidth="1"/>
    <col min="17" max="17" width="20" customWidth="1"/>
    <col min="18" max="18" width="16" customWidth="1"/>
  </cols>
  <sheetData>
    <row r="1" spans="1:18" ht="15.75" customHeight="1" x14ac:dyDescent="0.25">
      <c r="A1" s="2" t="s">
        <v>120</v>
      </c>
    </row>
    <row r="2" spans="1:18" ht="15" customHeight="1" x14ac:dyDescent="0.25">
      <c r="A2" s="3" t="s">
        <v>121</v>
      </c>
    </row>
    <row r="3" spans="1:18" ht="15" customHeight="1" x14ac:dyDescent="0.25">
      <c r="A3" s="3" t="s">
        <v>122</v>
      </c>
    </row>
    <row r="4" spans="1:18" ht="15" customHeight="1" x14ac:dyDescent="0.25">
      <c r="A4" s="3" t="s">
        <v>123</v>
      </c>
    </row>
    <row r="6" spans="1:18" ht="15" customHeight="1" x14ac:dyDescent="0.25">
      <c r="A6" s="3" t="s">
        <v>124</v>
      </c>
      <c r="D6" s="12">
        <v>46307</v>
      </c>
    </row>
    <row r="9" spans="1:18" ht="45" customHeight="1" x14ac:dyDescent="0.25">
      <c r="A9" s="4" t="s">
        <v>3</v>
      </c>
      <c r="B9" s="4" t="s">
        <v>125</v>
      </c>
      <c r="C9" s="4" t="s">
        <v>5</v>
      </c>
      <c r="D9" s="4" t="s">
        <v>126</v>
      </c>
      <c r="E9" s="4" t="s">
        <v>127</v>
      </c>
      <c r="F9" s="4" t="s">
        <v>128</v>
      </c>
      <c r="G9" s="4" t="s">
        <v>129</v>
      </c>
      <c r="H9" s="4" t="s">
        <v>130</v>
      </c>
      <c r="I9" s="4" t="s">
        <v>131</v>
      </c>
      <c r="J9" s="4" t="s">
        <v>132</v>
      </c>
      <c r="K9" s="4" t="s">
        <v>133</v>
      </c>
      <c r="L9" s="4" t="s">
        <v>134</v>
      </c>
      <c r="M9" s="4" t="s">
        <v>135</v>
      </c>
      <c r="N9" s="4" t="s">
        <v>136</v>
      </c>
      <c r="O9" s="4" t="s">
        <v>137</v>
      </c>
      <c r="P9" s="4" t="s">
        <v>138</v>
      </c>
      <c r="Q9" s="4" t="s">
        <v>139</v>
      </c>
      <c r="R9" s="4" t="s">
        <v>140</v>
      </c>
    </row>
    <row r="10" spans="1:18" ht="34.5" customHeight="1" x14ac:dyDescent="0.25">
      <c r="A10" s="7" t="s">
        <v>17</v>
      </c>
      <c r="B10" s="7" t="s">
        <v>141</v>
      </c>
      <c r="C10" s="5" t="str">
        <f>INDEX('Risk Register'!$C$6:$C$27,MATCH($A10,'Risk Register'!$A$6:$A$27,0))</f>
        <v>Data transaksi dicuri atau dimanipulasi lewat celah aplikasi</v>
      </c>
      <c r="D10" s="7">
        <f>INDEX('Risk Register'!$J$6:$J$27,MATCH($A10,'Risk Register'!$A$6:$A$27,0))</f>
        <v>12</v>
      </c>
      <c r="E10" s="7" t="str">
        <f>INDEX('Risk Register'!$K$6:$K$27,MATCH($A10,'Risk Register'!$A$6:$A$27,0))</f>
        <v>Tinggi</v>
      </c>
      <c r="F10" s="7">
        <f>MATCH($A10,Evaluasi!$B$10:$B$31,0)</f>
        <v>4</v>
      </c>
      <c r="G10" s="7" t="s">
        <v>142</v>
      </c>
      <c r="H10" s="5" t="s">
        <v>143</v>
      </c>
      <c r="I10" s="5" t="s">
        <v>144</v>
      </c>
      <c r="J10" s="5" t="s">
        <v>145</v>
      </c>
      <c r="K10" s="5" t="str">
        <f>INDEX('Risk Register'!$D$6:$D$27,MATCH($A10,'Risk Register'!$A$6:$A$27,0))</f>
        <v>Head of Engineering</v>
      </c>
      <c r="L10" s="13">
        <f>IF(G10="Terima",EDATE($D$6,6),$D$6+Evaluasi!$D$6)</f>
        <v>46397</v>
      </c>
      <c r="M10" s="6">
        <v>2</v>
      </c>
      <c r="N10" s="6">
        <v>4</v>
      </c>
      <c r="O10" s="8">
        <f t="shared" ref="O10:O31" si="0">M10*N10</f>
        <v>8</v>
      </c>
      <c r="P10" s="7" t="str">
        <f>IF(O10&lt;=Kriteria!$B$3,"Rendah",IF(O10&lt;=Kriteria!$B$4,"Sedang",IF(O10&lt;=Kriteria!$B$5,"Tinggi","Kritis")))</f>
        <v>Sedang</v>
      </c>
      <c r="Q10" s="5" t="str">
        <f>IF(O10&gt;Kriteria!$B$6,"Perlu penanganan lanjutan","Dapat diterima")</f>
        <v>Dapat diterima</v>
      </c>
      <c r="R10" s="5" t="str">
        <f t="shared" ref="R10:R31" si="1">IF(E10="Kritis","Direksi",IF(E10="Tinggi","Manajemen",IF(E10="Sedang","Pemilik risiko","Tidak perlu")))</f>
        <v>Manajemen</v>
      </c>
    </row>
    <row r="11" spans="1:18" ht="34.5" customHeight="1" x14ac:dyDescent="0.25">
      <c r="A11" s="7" t="s">
        <v>22</v>
      </c>
      <c r="B11" s="7" t="s">
        <v>146</v>
      </c>
      <c r="C11" s="5" t="str">
        <f>INDEX('Risk Register'!$C$6:$C$27,MATCH($A11,'Risk Register'!$A$6:$A$27,0))</f>
        <v>Data KTP dan swafoto pengguna bocor atau disalahgunakan</v>
      </c>
      <c r="D11" s="7">
        <f>INDEX('Risk Register'!$J$6:$J$27,MATCH($A11,'Risk Register'!$A$6:$A$27,0))</f>
        <v>12</v>
      </c>
      <c r="E11" s="7" t="str">
        <f>INDEX('Risk Register'!$K$6:$K$27,MATCH($A11,'Risk Register'!$A$6:$A$27,0))</f>
        <v>Tinggi</v>
      </c>
      <c r="F11" s="7">
        <f>MATCH($A11,Evaluasi!$B$10:$B$31,0)</f>
        <v>5</v>
      </c>
      <c r="G11" s="7" t="s">
        <v>142</v>
      </c>
      <c r="H11" s="5" t="s">
        <v>147</v>
      </c>
      <c r="I11" s="5" t="s">
        <v>148</v>
      </c>
      <c r="J11" s="5" t="s">
        <v>149</v>
      </c>
      <c r="K11" s="5" t="str">
        <f>INDEX('Risk Register'!$D$6:$D$27,MATCH($A11,'Risk Register'!$A$6:$A$27,0))</f>
        <v>Compliance Officer</v>
      </c>
      <c r="L11" s="13">
        <f>IF(G11="Terima",EDATE($D$6,6),$D$6+Evaluasi!$D$6)</f>
        <v>46397</v>
      </c>
      <c r="M11" s="6">
        <v>2</v>
      </c>
      <c r="N11" s="6">
        <v>4</v>
      </c>
      <c r="O11" s="8">
        <f t="shared" si="0"/>
        <v>8</v>
      </c>
      <c r="P11" s="7" t="str">
        <f>IF(O11&lt;=Kriteria!$B$3,"Rendah",IF(O11&lt;=Kriteria!$B$4,"Sedang",IF(O11&lt;=Kriteria!$B$5,"Tinggi","Kritis")))</f>
        <v>Sedang</v>
      </c>
      <c r="Q11" s="5" t="str">
        <f>IF(O11&gt;Kriteria!$B$6,"Perlu penanganan lanjutan","Dapat diterima")</f>
        <v>Dapat diterima</v>
      </c>
      <c r="R11" s="5" t="str">
        <f t="shared" si="1"/>
        <v>Manajemen</v>
      </c>
    </row>
    <row r="12" spans="1:18" ht="34.5" customHeight="1" x14ac:dyDescent="0.25">
      <c r="A12" s="7" t="s">
        <v>27</v>
      </c>
      <c r="B12" s="7" t="s">
        <v>150</v>
      </c>
      <c r="C12" s="5" t="str">
        <f>INDEX('Risk Register'!$C$6:$C$27,MATCH($A12,'Risk Register'!$A$6:$A$27,0))</f>
        <v>File KYC terekspos ke internet</v>
      </c>
      <c r="D12" s="7">
        <f>INDEX('Risk Register'!$J$6:$J$27,MATCH($A12,'Risk Register'!$A$6:$A$27,0))</f>
        <v>10</v>
      </c>
      <c r="E12" s="7" t="str">
        <f>INDEX('Risk Register'!$K$6:$K$27,MATCH($A12,'Risk Register'!$A$6:$A$27,0))</f>
        <v>Tinggi</v>
      </c>
      <c r="F12" s="7">
        <f>MATCH($A12,Evaluasi!$B$10:$B$31,0)</f>
        <v>9</v>
      </c>
      <c r="G12" s="7" t="s">
        <v>142</v>
      </c>
      <c r="H12" s="5" t="s">
        <v>151</v>
      </c>
      <c r="I12" s="5" t="s">
        <v>152</v>
      </c>
      <c r="J12" s="5" t="s">
        <v>153</v>
      </c>
      <c r="K12" s="5" t="str">
        <f>INDEX('Risk Register'!$D$6:$D$27,MATCH($A12,'Risk Register'!$A$6:$A$27,0))</f>
        <v>Head of Infrastructure</v>
      </c>
      <c r="L12" s="13">
        <f>IF(G12="Terima",EDATE($D$6,6),$D$6+Evaluasi!$D$6)</f>
        <v>46397</v>
      </c>
      <c r="M12" s="6">
        <v>1</v>
      </c>
      <c r="N12" s="6">
        <v>5</v>
      </c>
      <c r="O12" s="8">
        <f t="shared" si="0"/>
        <v>5</v>
      </c>
      <c r="P12" s="7" t="str">
        <f>IF(O12&lt;=Kriteria!$B$3,"Rendah",IF(O12&lt;=Kriteria!$B$4,"Sedang",IF(O12&lt;=Kriteria!$B$5,"Tinggi","Kritis")))</f>
        <v>Sedang</v>
      </c>
      <c r="Q12" s="5" t="str">
        <f>IF(O12&gt;Kriteria!$B$6,"Perlu penanganan lanjutan","Dapat diterima")</f>
        <v>Dapat diterima</v>
      </c>
      <c r="R12" s="5" t="str">
        <f t="shared" si="1"/>
        <v>Manajemen</v>
      </c>
    </row>
    <row r="13" spans="1:18" ht="34.5" customHeight="1" x14ac:dyDescent="0.25">
      <c r="A13" s="7" t="s">
        <v>31</v>
      </c>
      <c r="B13" s="7" t="s">
        <v>146</v>
      </c>
      <c r="C13" s="5" t="str">
        <f>INDEX('Risk Register'!$C$6:$C$27,MATCH($A13,'Risk Register'!$A$6:$A$27,0))</f>
        <v>Saldo atau mutasi diubah tanpa terdeteksi</v>
      </c>
      <c r="D13" s="7">
        <f>INDEX('Risk Register'!$J$6:$J$27,MATCH($A13,'Risk Register'!$A$6:$A$27,0))</f>
        <v>10</v>
      </c>
      <c r="E13" s="7" t="str">
        <f>INDEX('Risk Register'!$K$6:$K$27,MATCH($A13,'Risk Register'!$A$6:$A$27,0))</f>
        <v>Tinggi</v>
      </c>
      <c r="F13" s="7">
        <f>MATCH($A13,Evaluasi!$B$10:$B$31,0)</f>
        <v>10</v>
      </c>
      <c r="G13" s="7" t="s">
        <v>142</v>
      </c>
      <c r="H13" s="5" t="s">
        <v>154</v>
      </c>
      <c r="I13" s="5" t="s">
        <v>155</v>
      </c>
      <c r="J13" s="5" t="s">
        <v>156</v>
      </c>
      <c r="K13" s="5" t="str">
        <f>INDEX('Risk Register'!$D$6:$D$27,MATCH($A13,'Risk Register'!$A$6:$A$27,0))</f>
        <v>Head of Finance Operations</v>
      </c>
      <c r="L13" s="13">
        <f>IF(G13="Terima",EDATE($D$6,6),$D$6+Evaluasi!$D$6)</f>
        <v>46397</v>
      </c>
      <c r="M13" s="6">
        <v>1</v>
      </c>
      <c r="N13" s="6">
        <v>5</v>
      </c>
      <c r="O13" s="8">
        <f t="shared" si="0"/>
        <v>5</v>
      </c>
      <c r="P13" s="7" t="str">
        <f>IF(O13&lt;=Kriteria!$B$3,"Rendah",IF(O13&lt;=Kriteria!$B$4,"Sedang",IF(O13&lt;=Kriteria!$B$5,"Tinggi","Kritis")))</f>
        <v>Sedang</v>
      </c>
      <c r="Q13" s="5" t="str">
        <f>IF(O13&gt;Kriteria!$B$6,"Perlu penanganan lanjutan","Dapat diterima")</f>
        <v>Dapat diterima</v>
      </c>
      <c r="R13" s="5" t="str">
        <f t="shared" si="1"/>
        <v>Manajemen</v>
      </c>
    </row>
    <row r="14" spans="1:18" ht="34.5" customHeight="1" x14ac:dyDescent="0.25">
      <c r="A14" s="7" t="s">
        <v>36</v>
      </c>
      <c r="B14" s="7" t="s">
        <v>157</v>
      </c>
      <c r="C14" s="5" t="str">
        <f>INDEX('Risk Register'!$C$6:$C$27,MATCH($A14,'Risk Register'!$A$6:$A$27,0))</f>
        <v>Kunci jatuh ke penyerang sehingga data terenkripsi bisa dibuka</v>
      </c>
      <c r="D14" s="7">
        <f>INDEX('Risk Register'!$J$6:$J$27,MATCH($A14,'Risk Register'!$A$6:$A$27,0))</f>
        <v>12</v>
      </c>
      <c r="E14" s="7" t="str">
        <f>INDEX('Risk Register'!$K$6:$K$27,MATCH($A14,'Risk Register'!$A$6:$A$27,0))</f>
        <v>Tinggi</v>
      </c>
      <c r="F14" s="7">
        <f>MATCH($A14,Evaluasi!$B$10:$B$31,0)</f>
        <v>6</v>
      </c>
      <c r="G14" s="7" t="s">
        <v>142</v>
      </c>
      <c r="H14" s="5" t="s">
        <v>158</v>
      </c>
      <c r="I14" s="5" t="s">
        <v>159</v>
      </c>
      <c r="J14" s="5" t="s">
        <v>160</v>
      </c>
      <c r="K14" s="5" t="str">
        <f>INDEX('Risk Register'!$D$6:$D$27,MATCH($A14,'Risk Register'!$A$6:$A$27,0))</f>
        <v>Head of Security</v>
      </c>
      <c r="L14" s="13">
        <f>IF(G14="Terima",EDATE($D$6,6),$D$6+Evaluasi!$D$6)</f>
        <v>46397</v>
      </c>
      <c r="M14" s="6">
        <v>2</v>
      </c>
      <c r="N14" s="6">
        <v>4</v>
      </c>
      <c r="O14" s="8">
        <f t="shared" si="0"/>
        <v>8</v>
      </c>
      <c r="P14" s="7" t="str">
        <f>IF(O14&lt;=Kriteria!$B$3,"Rendah",IF(O14&lt;=Kriteria!$B$4,"Sedang",IF(O14&lt;=Kriteria!$B$5,"Tinggi","Kritis")))</f>
        <v>Sedang</v>
      </c>
      <c r="Q14" s="5" t="str">
        <f>IF(O14&gt;Kriteria!$B$6,"Perlu penanganan lanjutan","Dapat diterima")</f>
        <v>Dapat diterima</v>
      </c>
      <c r="R14" s="5" t="str">
        <f t="shared" si="1"/>
        <v>Manajemen</v>
      </c>
    </row>
    <row r="15" spans="1:18" ht="34.5" customHeight="1" x14ac:dyDescent="0.25">
      <c r="A15" s="7" t="s">
        <v>41</v>
      </c>
      <c r="B15" s="7" t="s">
        <v>157</v>
      </c>
      <c r="C15" s="5" t="str">
        <f>INDEX('Risk Register'!$C$6:$C$27,MATCH($A15,'Risk Register'!$A$6:$A$27,0))</f>
        <v>Kode sumber bocor sehingga celah aplikasi dan logika bisnis terlihat pihak yang tidak berwenang</v>
      </c>
      <c r="D15" s="7">
        <f>INDEX('Risk Register'!$J$6:$J$27,MATCH($A15,'Risk Register'!$A$6:$A$27,0))</f>
        <v>9</v>
      </c>
      <c r="E15" s="7" t="str">
        <f>INDEX('Risk Register'!$K$6:$K$27,MATCH($A15,'Risk Register'!$A$6:$A$27,0))</f>
        <v>Sedang</v>
      </c>
      <c r="F15" s="7">
        <f>MATCH($A15,Evaluasi!$B$10:$B$31,0)</f>
        <v>13</v>
      </c>
      <c r="G15" s="7" t="s">
        <v>142</v>
      </c>
      <c r="H15" s="5" t="s">
        <v>161</v>
      </c>
      <c r="I15" s="5" t="s">
        <v>162</v>
      </c>
      <c r="J15" s="5" t="s">
        <v>163</v>
      </c>
      <c r="K15" s="5" t="str">
        <f>INDEX('Risk Register'!$D$6:$D$27,MATCH($A15,'Risk Register'!$A$6:$A$27,0))</f>
        <v>Head of Engineering</v>
      </c>
      <c r="L15" s="13">
        <f>IF(G15="Terima",EDATE($D$6,6),$D$6+Evaluasi!$D$6)</f>
        <v>46397</v>
      </c>
      <c r="M15" s="6">
        <v>2</v>
      </c>
      <c r="N15" s="6">
        <v>3</v>
      </c>
      <c r="O15" s="8">
        <f t="shared" si="0"/>
        <v>6</v>
      </c>
      <c r="P15" s="7" t="str">
        <f>IF(O15&lt;=Kriteria!$B$3,"Rendah",IF(O15&lt;=Kriteria!$B$4,"Sedang",IF(O15&lt;=Kriteria!$B$5,"Tinggi","Kritis")))</f>
        <v>Sedang</v>
      </c>
      <c r="Q15" s="5" t="str">
        <f>IF(O15&gt;Kriteria!$B$6,"Perlu penanganan lanjutan","Dapat diterima")</f>
        <v>Dapat diterima</v>
      </c>
      <c r="R15" s="5" t="str">
        <f t="shared" si="1"/>
        <v>Pemilik risiko</v>
      </c>
    </row>
    <row r="16" spans="1:18" ht="45.75" customHeight="1" x14ac:dyDescent="0.25">
      <c r="A16" s="7" t="s">
        <v>45</v>
      </c>
      <c r="B16" s="7" t="s">
        <v>157</v>
      </c>
      <c r="C16" s="5" t="str">
        <f>INDEX('Risk Register'!$C$6:$C$27,MATCH($A16,'Risk Register'!$A$6:$A$27,0))</f>
        <v>Kode atau pipeline diubah tanpa izin sehingga kode berbahaya masuk ke produksi dan dana atau data pengguna disalahgunakan</v>
      </c>
      <c r="D16" s="7">
        <f>INDEX('Risk Register'!$J$6:$J$27,MATCH($A16,'Risk Register'!$A$6:$A$27,0))</f>
        <v>15</v>
      </c>
      <c r="E16" s="7" t="str">
        <f>INDEX('Risk Register'!$K$6:$K$27,MATCH($A16,'Risk Register'!$A$6:$A$27,0))</f>
        <v>Tinggi</v>
      </c>
      <c r="F16" s="7">
        <f>MATCH($A16,Evaluasi!$B$10:$B$31,0)</f>
        <v>3</v>
      </c>
      <c r="G16" s="7" t="s">
        <v>142</v>
      </c>
      <c r="H16" s="5" t="s">
        <v>164</v>
      </c>
      <c r="I16" s="5" t="s">
        <v>165</v>
      </c>
      <c r="J16" s="5" t="s">
        <v>166</v>
      </c>
      <c r="K16" s="5" t="str">
        <f>INDEX('Risk Register'!$D$6:$D$27,MATCH($A16,'Risk Register'!$A$6:$A$27,0))</f>
        <v>Head of Engineering</v>
      </c>
      <c r="L16" s="13">
        <f>IF(G16="Terima",EDATE($D$6,6),$D$6+Evaluasi!$D$6)</f>
        <v>46397</v>
      </c>
      <c r="M16" s="6">
        <v>2</v>
      </c>
      <c r="N16" s="6">
        <v>4</v>
      </c>
      <c r="O16" s="8">
        <f t="shared" si="0"/>
        <v>8</v>
      </c>
      <c r="P16" s="7" t="str">
        <f>IF(O16&lt;=Kriteria!$B$3,"Rendah",IF(O16&lt;=Kriteria!$B$4,"Sedang",IF(O16&lt;=Kriteria!$B$5,"Tinggi","Kritis")))</f>
        <v>Sedang</v>
      </c>
      <c r="Q16" s="5" t="str">
        <f>IF(O16&gt;Kriteria!$B$6,"Perlu penanganan lanjutan","Dapat diterima")</f>
        <v>Dapat diterima</v>
      </c>
      <c r="R16" s="5" t="str">
        <f t="shared" si="1"/>
        <v>Manajemen</v>
      </c>
    </row>
    <row r="17" spans="1:18" ht="23.25" customHeight="1" x14ac:dyDescent="0.25">
      <c r="A17" s="7" t="s">
        <v>48</v>
      </c>
      <c r="B17" s="7" t="s">
        <v>167</v>
      </c>
      <c r="C17" s="5" t="str">
        <f>INDEX('Risk Register'!$C$6:$C$27,MATCH($A17,'Risk Register'!$A$6:$A$27,0))</f>
        <v>Kebijakan usang atau berubah tanpa persetujuan, kewajiban hukum terlewat</v>
      </c>
      <c r="D17" s="7">
        <f>INDEX('Risk Register'!$J$6:$J$27,MATCH($A17,'Risk Register'!$A$6:$A$27,0))</f>
        <v>6</v>
      </c>
      <c r="E17" s="7" t="str">
        <f>INDEX('Risk Register'!$K$6:$K$27,MATCH($A17,'Risk Register'!$A$6:$A$27,0))</f>
        <v>Sedang</v>
      </c>
      <c r="F17" s="7">
        <f>MATCH($A17,Evaluasi!$B$10:$B$31,0)</f>
        <v>22</v>
      </c>
      <c r="G17" s="7" t="s">
        <v>168</v>
      </c>
      <c r="H17" s="5" t="s">
        <v>167</v>
      </c>
      <c r="I17" s="5" t="s">
        <v>169</v>
      </c>
      <c r="J17" s="5" t="s">
        <v>170</v>
      </c>
      <c r="K17" s="5" t="str">
        <f>INDEX('Risk Register'!$D$6:$D$27,MATCH($A17,'Risk Register'!$A$6:$A$27,0))</f>
        <v>Compliance Officer</v>
      </c>
      <c r="L17" s="13">
        <f>IF(G17="Terima",EDATE($D$6,6),$D$6+Evaluasi!$D$6)</f>
        <v>46489</v>
      </c>
      <c r="M17" s="7">
        <f>INDEX('Risk Register'!$E$6:$E$27,MATCH($A17,'Risk Register'!$A$6:$A$27,0))</f>
        <v>3</v>
      </c>
      <c r="N17" s="7">
        <f>INDEX('Risk Register'!$I$6:$I$27,MATCH($A17,'Risk Register'!$A$6:$A$27,0))</f>
        <v>2</v>
      </c>
      <c r="O17" s="8">
        <f t="shared" si="0"/>
        <v>6</v>
      </c>
      <c r="P17" s="7" t="str">
        <f>IF(O17&lt;=Kriteria!$B$3,"Rendah",IF(O17&lt;=Kriteria!$B$4,"Sedang",IF(O17&lt;=Kriteria!$B$5,"Tinggi","Kritis")))</f>
        <v>Sedang</v>
      </c>
      <c r="Q17" s="5" t="str">
        <f>IF(O17&gt;Kriteria!$B$6,"Perlu penanganan lanjutan","Dapat diterima")</f>
        <v>Dapat diterima</v>
      </c>
      <c r="R17" s="5" t="str">
        <f t="shared" si="1"/>
        <v>Pemilik risiko</v>
      </c>
    </row>
    <row r="18" spans="1:18" ht="23.25" customHeight="1" x14ac:dyDescent="0.25">
      <c r="A18" s="7" t="s">
        <v>52</v>
      </c>
      <c r="B18" s="7" t="s">
        <v>167</v>
      </c>
      <c r="C18" s="5" t="str">
        <f>INDEX('Risk Register'!$C$6:$C$27,MATCH($A18,'Risk Register'!$A$6:$A$27,0))</f>
        <v>Aplikasi palsu mencuri kredensial pengguna</v>
      </c>
      <c r="D18" s="7">
        <f>INDEX('Risk Register'!$J$6:$J$27,MATCH($A18,'Risk Register'!$A$6:$A$27,0))</f>
        <v>9</v>
      </c>
      <c r="E18" s="7" t="str">
        <f>INDEX('Risk Register'!$K$6:$K$27,MATCH($A18,'Risk Register'!$A$6:$A$27,0))</f>
        <v>Sedang</v>
      </c>
      <c r="F18" s="7">
        <f>MATCH($A18,Evaluasi!$B$10:$B$31,0)</f>
        <v>14</v>
      </c>
      <c r="G18" s="7" t="s">
        <v>168</v>
      </c>
      <c r="H18" s="5" t="s">
        <v>167</v>
      </c>
      <c r="I18" s="5" t="s">
        <v>171</v>
      </c>
      <c r="J18" s="5" t="s">
        <v>172</v>
      </c>
      <c r="K18" s="5" t="str">
        <f>INDEX('Risk Register'!$D$6:$D$27,MATCH($A18,'Risk Register'!$A$6:$A$27,0))</f>
        <v>Product Owner</v>
      </c>
      <c r="L18" s="13">
        <f>IF(G18="Terima",EDATE($D$6,6),$D$6+Evaluasi!$D$6)</f>
        <v>46489</v>
      </c>
      <c r="M18" s="7">
        <f>INDEX('Risk Register'!$E$6:$E$27,MATCH($A18,'Risk Register'!$A$6:$A$27,0))</f>
        <v>3</v>
      </c>
      <c r="N18" s="7">
        <f>INDEX('Risk Register'!$I$6:$I$27,MATCH($A18,'Risk Register'!$A$6:$A$27,0))</f>
        <v>3</v>
      </c>
      <c r="O18" s="8">
        <f t="shared" si="0"/>
        <v>9</v>
      </c>
      <c r="P18" s="7" t="str">
        <f>IF(O18&lt;=Kriteria!$B$3,"Rendah",IF(O18&lt;=Kriteria!$B$4,"Sedang",IF(O18&lt;=Kriteria!$B$5,"Tinggi","Kritis")))</f>
        <v>Sedang</v>
      </c>
      <c r="Q18" s="5" t="str">
        <f>IF(O18&gt;Kriteria!$B$6,"Perlu penanganan lanjutan","Dapat diterima")</f>
        <v>Dapat diterima</v>
      </c>
      <c r="R18" s="5" t="str">
        <f t="shared" si="1"/>
        <v>Pemilik risiko</v>
      </c>
    </row>
    <row r="19" spans="1:18" ht="34.5" customHeight="1" x14ac:dyDescent="0.25">
      <c r="A19" s="7" t="s">
        <v>57</v>
      </c>
      <c r="B19" s="7" t="s">
        <v>173</v>
      </c>
      <c r="C19" s="5" t="str">
        <f>INDEX('Risk Register'!$C$6:$C$27,MATCH($A19,'Risk Register'!$A$6:$A$27,0))</f>
        <v>API tidak tersedia, transaksi merchant gagal</v>
      </c>
      <c r="D19" s="7">
        <f>INDEX('Risk Register'!$J$6:$J$27,MATCH($A19,'Risk Register'!$A$6:$A$27,0))</f>
        <v>16</v>
      </c>
      <c r="E19" s="7" t="str">
        <f>INDEX('Risk Register'!$K$6:$K$27,MATCH($A19,'Risk Register'!$A$6:$A$27,0))</f>
        <v>Tinggi</v>
      </c>
      <c r="F19" s="7">
        <f>MATCH($A19,Evaluasi!$B$10:$B$31,0)</f>
        <v>1</v>
      </c>
      <c r="G19" s="7" t="s">
        <v>142</v>
      </c>
      <c r="H19" s="5" t="s">
        <v>174</v>
      </c>
      <c r="I19" s="5" t="s">
        <v>175</v>
      </c>
      <c r="J19" s="5" t="s">
        <v>176</v>
      </c>
      <c r="K19" s="5" t="str">
        <f>INDEX('Risk Register'!$D$6:$D$27,MATCH($A19,'Risk Register'!$A$6:$A$27,0))</f>
        <v>Head of Engineering</v>
      </c>
      <c r="L19" s="13">
        <f>IF(G19="Terima",EDATE($D$6,6),$D$6+Evaluasi!$D$6)</f>
        <v>46397</v>
      </c>
      <c r="M19" s="6">
        <v>2</v>
      </c>
      <c r="N19" s="6">
        <v>3</v>
      </c>
      <c r="O19" s="8">
        <f t="shared" si="0"/>
        <v>6</v>
      </c>
      <c r="P19" s="7" t="str">
        <f>IF(O19&lt;=Kriteria!$B$3,"Rendah",IF(O19&lt;=Kriteria!$B$4,"Sedang",IF(O19&lt;=Kriteria!$B$5,"Tinggi","Kritis")))</f>
        <v>Sedang</v>
      </c>
      <c r="Q19" s="5" t="str">
        <f>IF(O19&gt;Kriteria!$B$6,"Perlu penanganan lanjutan","Dapat diterima")</f>
        <v>Dapat diterima</v>
      </c>
      <c r="R19" s="5" t="str">
        <f t="shared" si="1"/>
        <v>Manajemen</v>
      </c>
    </row>
    <row r="20" spans="1:18" ht="23.25" customHeight="1" x14ac:dyDescent="0.25">
      <c r="A20" s="7" t="s">
        <v>61</v>
      </c>
      <c r="B20" s="7" t="s">
        <v>141</v>
      </c>
      <c r="C20" s="5" t="str">
        <f>INDEX('Risk Register'!$C$6:$C$27,MATCH($A20,'Risk Register'!$A$6:$A$27,0))</f>
        <v>Penyerang mengakses transaksi merchant lain</v>
      </c>
      <c r="D20" s="7">
        <f>INDEX('Risk Register'!$J$6:$J$27,MATCH($A20,'Risk Register'!$A$6:$A$27,0))</f>
        <v>12</v>
      </c>
      <c r="E20" s="7" t="str">
        <f>INDEX('Risk Register'!$K$6:$K$27,MATCH($A20,'Risk Register'!$A$6:$A$27,0))</f>
        <v>Tinggi</v>
      </c>
      <c r="F20" s="7">
        <f>MATCH($A20,Evaluasi!$B$10:$B$31,0)</f>
        <v>7</v>
      </c>
      <c r="G20" s="7" t="s">
        <v>142</v>
      </c>
      <c r="H20" s="5" t="s">
        <v>177</v>
      </c>
      <c r="I20" s="5" t="s">
        <v>178</v>
      </c>
      <c r="J20" s="5" t="s">
        <v>179</v>
      </c>
      <c r="K20" s="5" t="str">
        <f>INDEX('Risk Register'!$D$6:$D$27,MATCH($A20,'Risk Register'!$A$6:$A$27,0))</f>
        <v>Head of Engineering</v>
      </c>
      <c r="L20" s="13">
        <f>IF(G20="Terima",EDATE($D$6,6),$D$6+Evaluasi!$D$6)</f>
        <v>46397</v>
      </c>
      <c r="M20" s="6">
        <v>2</v>
      </c>
      <c r="N20" s="6">
        <v>4</v>
      </c>
      <c r="O20" s="8">
        <f t="shared" si="0"/>
        <v>8</v>
      </c>
      <c r="P20" s="7" t="str">
        <f>IF(O20&lt;=Kriteria!$B$3,"Rendah",IF(O20&lt;=Kriteria!$B$4,"Sedang",IF(O20&lt;=Kriteria!$B$5,"Tinggi","Kritis")))</f>
        <v>Sedang</v>
      </c>
      <c r="Q20" s="5" t="str">
        <f>IF(O20&gt;Kriteria!$B$6,"Perlu penanganan lanjutan","Dapat diterima")</f>
        <v>Dapat diterima</v>
      </c>
      <c r="R20" s="5" t="str">
        <f t="shared" si="1"/>
        <v>Manajemen</v>
      </c>
    </row>
    <row r="21" spans="1:18" ht="34.5" customHeight="1" x14ac:dyDescent="0.25">
      <c r="A21" s="7" t="s">
        <v>64</v>
      </c>
      <c r="B21" s="7" t="s">
        <v>146</v>
      </c>
      <c r="C21" s="5" t="str">
        <f>INDEX('Risk Register'!$C$6:$C$27,MATCH($A21,'Risk Register'!$A$6:$A$27,0))</f>
        <v>Akun merchant diambil alih dan dana dialihkan</v>
      </c>
      <c r="D21" s="7">
        <f>INDEX('Risk Register'!$J$6:$J$27,MATCH($A21,'Risk Register'!$A$6:$A$27,0))</f>
        <v>12</v>
      </c>
      <c r="E21" s="7" t="str">
        <f>INDEX('Risk Register'!$K$6:$K$27,MATCH($A21,'Risk Register'!$A$6:$A$27,0))</f>
        <v>Tinggi</v>
      </c>
      <c r="F21" s="7">
        <f>MATCH($A21,Evaluasi!$B$10:$B$31,0)</f>
        <v>8</v>
      </c>
      <c r="G21" s="7" t="s">
        <v>142</v>
      </c>
      <c r="H21" s="5" t="s">
        <v>180</v>
      </c>
      <c r="I21" s="5" t="s">
        <v>181</v>
      </c>
      <c r="J21" s="5" t="s">
        <v>182</v>
      </c>
      <c r="K21" s="5" t="str">
        <f>INDEX('Risk Register'!$D$6:$D$27,MATCH($A21,'Risk Register'!$A$6:$A$27,0))</f>
        <v>Product Owner</v>
      </c>
      <c r="L21" s="13">
        <f>IF(G21="Terima",EDATE($D$6,6),$D$6+Evaluasi!$D$6)</f>
        <v>46397</v>
      </c>
      <c r="M21" s="6">
        <v>2</v>
      </c>
      <c r="N21" s="6">
        <v>3</v>
      </c>
      <c r="O21" s="8">
        <f t="shared" si="0"/>
        <v>6</v>
      </c>
      <c r="P21" s="7" t="str">
        <f>IF(O21&lt;=Kriteria!$B$3,"Rendah",IF(O21&lt;=Kriteria!$B$4,"Sedang",IF(O21&lt;=Kriteria!$B$5,"Tinggi","Kritis")))</f>
        <v>Sedang</v>
      </c>
      <c r="Q21" s="5" t="str">
        <f>IF(O21&gt;Kriteria!$B$6,"Perlu penanganan lanjutan","Dapat diterima")</f>
        <v>Dapat diterima</v>
      </c>
      <c r="R21" s="5" t="str">
        <f t="shared" si="1"/>
        <v>Manajemen</v>
      </c>
    </row>
    <row r="22" spans="1:18" ht="34.5" customHeight="1" x14ac:dyDescent="0.25">
      <c r="A22" s="7" t="s">
        <v>68</v>
      </c>
      <c r="B22" s="7" t="s">
        <v>183</v>
      </c>
      <c r="C22" s="5" t="str">
        <f>INDEX('Risk Register'!$C$6:$C$27,MATCH($A22,'Risk Register'!$A$6:$A$27,0))</f>
        <v>Insiden tidak terdeteksi atau tidak bisa diselidiki</v>
      </c>
      <c r="D22" s="7">
        <f>INDEX('Risk Register'!$J$6:$J$27,MATCH($A22,'Risk Register'!$A$6:$A$27,0))</f>
        <v>9</v>
      </c>
      <c r="E22" s="7" t="str">
        <f>INDEX('Risk Register'!$K$6:$K$27,MATCH($A22,'Risk Register'!$A$6:$A$27,0))</f>
        <v>Sedang</v>
      </c>
      <c r="F22" s="7">
        <f>MATCH($A22,Evaluasi!$B$10:$B$31,0)</f>
        <v>15</v>
      </c>
      <c r="G22" s="7" t="s">
        <v>142</v>
      </c>
      <c r="H22" s="5" t="s">
        <v>184</v>
      </c>
      <c r="I22" s="5" t="s">
        <v>185</v>
      </c>
      <c r="J22" s="5" t="s">
        <v>186</v>
      </c>
      <c r="K22" s="5" t="str">
        <f>INDEX('Risk Register'!$D$6:$D$27,MATCH($A22,'Risk Register'!$A$6:$A$27,0))</f>
        <v>Head of Security</v>
      </c>
      <c r="L22" s="13">
        <f>IF(G22="Terima",EDATE($D$6,6),$D$6+Evaluasi!$D$6)</f>
        <v>46397</v>
      </c>
      <c r="M22" s="6">
        <v>2</v>
      </c>
      <c r="N22" s="6">
        <v>3</v>
      </c>
      <c r="O22" s="8">
        <f t="shared" si="0"/>
        <v>6</v>
      </c>
      <c r="P22" s="7" t="str">
        <f>IF(O22&lt;=Kriteria!$B$3,"Rendah",IF(O22&lt;=Kriteria!$B$4,"Sedang",IF(O22&lt;=Kriteria!$B$5,"Tinggi","Kritis")))</f>
        <v>Sedang</v>
      </c>
      <c r="Q22" s="5" t="str">
        <f>IF(O22&gt;Kriteria!$B$6,"Perlu penanganan lanjutan","Dapat diterima")</f>
        <v>Dapat diterima</v>
      </c>
      <c r="R22" s="5" t="str">
        <f t="shared" si="1"/>
        <v>Pemilik risiko</v>
      </c>
    </row>
    <row r="23" spans="1:18" ht="23.25" customHeight="1" x14ac:dyDescent="0.25">
      <c r="A23" s="7" t="s">
        <v>72</v>
      </c>
      <c r="B23" s="7" t="s">
        <v>167</v>
      </c>
      <c r="C23" s="5" t="str">
        <f>INDEX('Risk Register'!$C$6:$C$27,MATCH($A23,'Risk Register'!$A$6:$A$27,0))</f>
        <v>Layanan berhenti berjam-jam</v>
      </c>
      <c r="D23" s="7">
        <f>INDEX('Risk Register'!$J$6:$J$27,MATCH($A23,'Risk Register'!$A$6:$A$27,0))</f>
        <v>8</v>
      </c>
      <c r="E23" s="7" t="str">
        <f>INDEX('Risk Register'!$K$6:$K$27,MATCH($A23,'Risk Register'!$A$6:$A$27,0))</f>
        <v>Sedang</v>
      </c>
      <c r="F23" s="7">
        <f>MATCH($A23,Evaluasi!$B$10:$B$31,0)</f>
        <v>19</v>
      </c>
      <c r="G23" s="7" t="s">
        <v>168</v>
      </c>
      <c r="H23" s="5" t="s">
        <v>167</v>
      </c>
      <c r="I23" s="5" t="s">
        <v>169</v>
      </c>
      <c r="J23" s="5" t="s">
        <v>187</v>
      </c>
      <c r="K23" s="5" t="str">
        <f>INDEX('Risk Register'!$D$6:$D$27,MATCH($A23,'Risk Register'!$A$6:$A$27,0))</f>
        <v>Head of Infrastructure</v>
      </c>
      <c r="L23" s="13">
        <f>IF(G23="Terima",EDATE($D$6,6),$D$6+Evaluasi!$D$6)</f>
        <v>46489</v>
      </c>
      <c r="M23" s="7">
        <f>INDEX('Risk Register'!$E$6:$E$27,MATCH($A23,'Risk Register'!$A$6:$A$27,0))</f>
        <v>2</v>
      </c>
      <c r="N23" s="7">
        <f>INDEX('Risk Register'!$I$6:$I$27,MATCH($A23,'Risk Register'!$A$6:$A$27,0))</f>
        <v>4</v>
      </c>
      <c r="O23" s="8">
        <f t="shared" si="0"/>
        <v>8</v>
      </c>
      <c r="P23" s="7" t="str">
        <f>IF(O23&lt;=Kriteria!$B$3,"Rendah",IF(O23&lt;=Kriteria!$B$4,"Sedang",IF(O23&lt;=Kriteria!$B$5,"Tinggi","Kritis")))</f>
        <v>Sedang</v>
      </c>
      <c r="Q23" s="5" t="str">
        <f>IF(O23&gt;Kriteria!$B$6,"Perlu penanganan lanjutan","Dapat diterima")</f>
        <v>Dapat diterima</v>
      </c>
      <c r="R23" s="5" t="str">
        <f t="shared" si="1"/>
        <v>Pemilik risiko</v>
      </c>
    </row>
    <row r="24" spans="1:18" ht="34.5" customHeight="1" x14ac:dyDescent="0.25">
      <c r="A24" s="7" t="s">
        <v>76</v>
      </c>
      <c r="B24" s="7" t="s">
        <v>173</v>
      </c>
      <c r="C24" s="5" t="str">
        <f>INDEX('Risk Register'!$C$6:$C$27,MATCH($A24,'Risk Register'!$A$6:$A$27,0))</f>
        <v>Data produksi terenkripsi dan backup ikut rusak</v>
      </c>
      <c r="D24" s="7">
        <f>INDEX('Risk Register'!$J$6:$J$27,MATCH($A24,'Risk Register'!$A$6:$A$27,0))</f>
        <v>10</v>
      </c>
      <c r="E24" s="7" t="str">
        <f>INDEX('Risk Register'!$K$6:$K$27,MATCH($A24,'Risk Register'!$A$6:$A$27,0))</f>
        <v>Tinggi</v>
      </c>
      <c r="F24" s="7">
        <f>MATCH($A24,Evaluasi!$B$10:$B$31,0)</f>
        <v>11</v>
      </c>
      <c r="G24" s="7" t="s">
        <v>188</v>
      </c>
      <c r="H24" s="5" t="s">
        <v>189</v>
      </c>
      <c r="I24" s="5" t="s">
        <v>190</v>
      </c>
      <c r="J24" s="5" t="s">
        <v>191</v>
      </c>
      <c r="K24" s="5" t="str">
        <f>INDEX('Risk Register'!$D$6:$D$27,MATCH($A24,'Risk Register'!$A$6:$A$27,0))</f>
        <v>Head of Infrastructure</v>
      </c>
      <c r="L24" s="13">
        <f>IF(G24="Terima",EDATE($D$6,6),$D$6+Evaluasi!$D$6)</f>
        <v>46397</v>
      </c>
      <c r="M24" s="6">
        <v>2</v>
      </c>
      <c r="N24" s="6">
        <v>3</v>
      </c>
      <c r="O24" s="8">
        <f t="shared" si="0"/>
        <v>6</v>
      </c>
      <c r="P24" s="7" t="str">
        <f>IF(O24&lt;=Kriteria!$B$3,"Rendah",IF(O24&lt;=Kriteria!$B$4,"Sedang",IF(O24&lt;=Kriteria!$B$5,"Tinggi","Kritis")))</f>
        <v>Sedang</v>
      </c>
      <c r="Q24" s="5" t="str">
        <f>IF(O24&gt;Kriteria!$B$6,"Perlu penanganan lanjutan","Dapat diterima")</f>
        <v>Dapat diterima</v>
      </c>
      <c r="R24" s="5" t="str">
        <f t="shared" si="1"/>
        <v>Manajemen</v>
      </c>
    </row>
    <row r="25" spans="1:18" ht="23.25" customHeight="1" x14ac:dyDescent="0.25">
      <c r="A25" s="7" t="s">
        <v>79</v>
      </c>
      <c r="B25" s="7" t="s">
        <v>167</v>
      </c>
      <c r="C25" s="5" t="str">
        <f>INDEX('Risk Register'!$C$6:$C$27,MATCH($A25,'Risk Register'!$A$6:$A$27,0))</f>
        <v>Penyerang di jaringan kantor menjangkau sistem internal</v>
      </c>
      <c r="D25" s="7">
        <f>INDEX('Risk Register'!$J$6:$J$27,MATCH($A25,'Risk Register'!$A$6:$A$27,0))</f>
        <v>6</v>
      </c>
      <c r="E25" s="7" t="str">
        <f>INDEX('Risk Register'!$K$6:$K$27,MATCH($A25,'Risk Register'!$A$6:$A$27,0))</f>
        <v>Sedang</v>
      </c>
      <c r="F25" s="7">
        <f>MATCH($A25,Evaluasi!$B$10:$B$31,0)</f>
        <v>21</v>
      </c>
      <c r="G25" s="7" t="s">
        <v>168</v>
      </c>
      <c r="H25" s="5" t="s">
        <v>167</v>
      </c>
      <c r="I25" s="5" t="s">
        <v>169</v>
      </c>
      <c r="J25" s="5" t="s">
        <v>192</v>
      </c>
      <c r="K25" s="5" t="str">
        <f>INDEX('Risk Register'!$D$6:$D$27,MATCH($A25,'Risk Register'!$A$6:$A$27,0))</f>
        <v>Head of Infrastructure</v>
      </c>
      <c r="L25" s="13">
        <f>IF(G25="Terima",EDATE($D$6,6),$D$6+Evaluasi!$D$6)</f>
        <v>46489</v>
      </c>
      <c r="M25" s="7">
        <f>INDEX('Risk Register'!$E$6:$E$27,MATCH($A25,'Risk Register'!$A$6:$A$27,0))</f>
        <v>2</v>
      </c>
      <c r="N25" s="7">
        <f>INDEX('Risk Register'!$I$6:$I$27,MATCH($A25,'Risk Register'!$A$6:$A$27,0))</f>
        <v>3</v>
      </c>
      <c r="O25" s="8">
        <f t="shared" si="0"/>
        <v>6</v>
      </c>
      <c r="P25" s="7" t="str">
        <f>IF(O25&lt;=Kriteria!$B$3,"Rendah",IF(O25&lt;=Kriteria!$B$4,"Sedang",IF(O25&lt;=Kriteria!$B$5,"Tinggi","Kritis")))</f>
        <v>Sedang</v>
      </c>
      <c r="Q25" s="5" t="str">
        <f>IF(O25&gt;Kriteria!$B$6,"Perlu penanganan lanjutan","Dapat diterima")</f>
        <v>Dapat diterima</v>
      </c>
      <c r="R25" s="5" t="str">
        <f t="shared" si="1"/>
        <v>Pemilik risiko</v>
      </c>
    </row>
    <row r="26" spans="1:18" ht="23.25" customHeight="1" x14ac:dyDescent="0.25">
      <c r="A26" s="7" t="s">
        <v>83</v>
      </c>
      <c r="B26" s="7" t="s">
        <v>167</v>
      </c>
      <c r="C26" s="5" t="str">
        <f>INDEX('Risk Register'!$C$6:$C$27,MATCH($A26,'Risk Register'!$A$6:$A$27,0))</f>
        <v>Data perusahaan bocor dari laptop</v>
      </c>
      <c r="D26" s="7">
        <f>INDEX('Risk Register'!$J$6:$J$27,MATCH($A26,'Risk Register'!$A$6:$A$27,0))</f>
        <v>9</v>
      </c>
      <c r="E26" s="7" t="str">
        <f>INDEX('Risk Register'!$K$6:$K$27,MATCH($A26,'Risk Register'!$A$6:$A$27,0))</f>
        <v>Sedang</v>
      </c>
      <c r="F26" s="7">
        <f>MATCH($A26,Evaluasi!$B$10:$B$31,0)</f>
        <v>16</v>
      </c>
      <c r="G26" s="7" t="s">
        <v>168</v>
      </c>
      <c r="H26" s="5" t="s">
        <v>167</v>
      </c>
      <c r="I26" s="5" t="s">
        <v>169</v>
      </c>
      <c r="J26" s="5" t="s">
        <v>193</v>
      </c>
      <c r="K26" s="5" t="str">
        <f>INDEX('Risk Register'!$D$6:$D$27,MATCH($A26,'Risk Register'!$A$6:$A$27,0))</f>
        <v>Head of IT Support</v>
      </c>
      <c r="L26" s="13">
        <f>IF(G26="Terima",EDATE($D$6,6),$D$6+Evaluasi!$D$6)</f>
        <v>46489</v>
      </c>
      <c r="M26" s="7">
        <f>INDEX('Risk Register'!$E$6:$E$27,MATCH($A26,'Risk Register'!$A$6:$A$27,0))</f>
        <v>3</v>
      </c>
      <c r="N26" s="7">
        <f>INDEX('Risk Register'!$I$6:$I$27,MATCH($A26,'Risk Register'!$A$6:$A$27,0))</f>
        <v>3</v>
      </c>
      <c r="O26" s="8">
        <f t="shared" si="0"/>
        <v>9</v>
      </c>
      <c r="P26" s="7" t="str">
        <f>IF(O26&lt;=Kriteria!$B$3,"Rendah",IF(O26&lt;=Kriteria!$B$4,"Sedang",IF(O26&lt;=Kriteria!$B$5,"Tinggi","Kritis")))</f>
        <v>Sedang</v>
      </c>
      <c r="Q26" s="5" t="str">
        <f>IF(O26&gt;Kriteria!$B$6,"Perlu penanganan lanjutan","Dapat diterima")</f>
        <v>Dapat diterima</v>
      </c>
      <c r="R26" s="5" t="str">
        <f t="shared" si="1"/>
        <v>Pemilik risiko</v>
      </c>
    </row>
    <row r="27" spans="1:18" ht="34.5" customHeight="1" x14ac:dyDescent="0.25">
      <c r="A27" s="7" t="s">
        <v>88</v>
      </c>
      <c r="B27" s="7" t="s">
        <v>146</v>
      </c>
      <c r="C27" s="5" t="str">
        <f>INDEX('Risk Register'!$C$6:$C$27,MATCH($A27,'Risk Register'!$A$6:$A$27,0))</f>
        <v>Karyawan menyerahkan kredensial dan penyerang masuk ke sistem</v>
      </c>
      <c r="D27" s="7">
        <f>INDEX('Risk Register'!$J$6:$J$27,MATCH($A27,'Risk Register'!$A$6:$A$27,0))</f>
        <v>16</v>
      </c>
      <c r="E27" s="7" t="str">
        <f>INDEX('Risk Register'!$K$6:$K$27,MATCH($A27,'Risk Register'!$A$6:$A$27,0))</f>
        <v>Tinggi</v>
      </c>
      <c r="F27" s="7">
        <f>MATCH($A27,Evaluasi!$B$10:$B$31,0)</f>
        <v>2</v>
      </c>
      <c r="G27" s="7" t="s">
        <v>142</v>
      </c>
      <c r="H27" s="5" t="s">
        <v>194</v>
      </c>
      <c r="I27" s="5" t="s">
        <v>195</v>
      </c>
      <c r="J27" s="5" t="s">
        <v>196</v>
      </c>
      <c r="K27" s="5" t="str">
        <f>INDEX('Risk Register'!$D$6:$D$27,MATCH($A27,'Risk Register'!$A$6:$A$27,0))</f>
        <v>Head of IT Support</v>
      </c>
      <c r="L27" s="13">
        <f>IF(G27="Terima",EDATE($D$6,6),$D$6+Evaluasi!$D$6)</f>
        <v>46397</v>
      </c>
      <c r="M27" s="6">
        <v>2</v>
      </c>
      <c r="N27" s="6">
        <v>3</v>
      </c>
      <c r="O27" s="8">
        <f t="shared" si="0"/>
        <v>6</v>
      </c>
      <c r="P27" s="7" t="str">
        <f>IF(O27&lt;=Kriteria!$B$3,"Rendah",IF(O27&lt;=Kriteria!$B$4,"Sedang",IF(O27&lt;=Kriteria!$B$5,"Tinggi","Kritis")))</f>
        <v>Sedang</v>
      </c>
      <c r="Q27" s="5" t="str">
        <f>IF(O27&gt;Kriteria!$B$6,"Perlu penanganan lanjutan","Dapat diterima")</f>
        <v>Dapat diterima</v>
      </c>
      <c r="R27" s="5" t="str">
        <f t="shared" si="1"/>
        <v>Manajemen</v>
      </c>
    </row>
    <row r="28" spans="1:18" ht="23.25" customHeight="1" x14ac:dyDescent="0.25">
      <c r="A28" s="7" t="s">
        <v>91</v>
      </c>
      <c r="B28" s="7" t="s">
        <v>167</v>
      </c>
      <c r="C28" s="5" t="str">
        <f>INDEX('Risk Register'!$C$6:$C$27,MATCH($A28,'Risk Register'!$A$6:$A$27,0))</f>
        <v>Transaksi tertahan atau disusupi</v>
      </c>
      <c r="D28" s="7">
        <f>INDEX('Risk Register'!$J$6:$J$27,MATCH($A28,'Risk Register'!$A$6:$A$27,0))</f>
        <v>8</v>
      </c>
      <c r="E28" s="7" t="str">
        <f>INDEX('Risk Register'!$K$6:$K$27,MATCH($A28,'Risk Register'!$A$6:$A$27,0))</f>
        <v>Sedang</v>
      </c>
      <c r="F28" s="7">
        <f>MATCH($A28,Evaluasi!$B$10:$B$31,0)</f>
        <v>20</v>
      </c>
      <c r="G28" s="7" t="s">
        <v>168</v>
      </c>
      <c r="H28" s="5" t="s">
        <v>167</v>
      </c>
      <c r="I28" s="5" t="s">
        <v>169</v>
      </c>
      <c r="J28" s="5" t="s">
        <v>197</v>
      </c>
      <c r="K28" s="5" t="str">
        <f>INDEX('Risk Register'!$D$6:$D$27,MATCH($A28,'Risk Register'!$A$6:$A$27,0))</f>
        <v>Head of Partnership</v>
      </c>
      <c r="L28" s="13">
        <f>IF(G28="Terima",EDATE($D$6,6),$D$6+Evaluasi!$D$6)</f>
        <v>46489</v>
      </c>
      <c r="M28" s="7">
        <f>INDEX('Risk Register'!$E$6:$E$27,MATCH($A28,'Risk Register'!$A$6:$A$27,0))</f>
        <v>2</v>
      </c>
      <c r="N28" s="7">
        <f>INDEX('Risk Register'!$I$6:$I$27,MATCH($A28,'Risk Register'!$A$6:$A$27,0))</f>
        <v>4</v>
      </c>
      <c r="O28" s="8">
        <f t="shared" si="0"/>
        <v>8</v>
      </c>
      <c r="P28" s="7" t="str">
        <f>IF(O28&lt;=Kriteria!$B$3,"Rendah",IF(O28&lt;=Kriteria!$B$4,"Sedang",IF(O28&lt;=Kriteria!$B$5,"Tinggi","Kritis")))</f>
        <v>Sedang</v>
      </c>
      <c r="Q28" s="5" t="str">
        <f>IF(O28&gt;Kriteria!$B$6,"Perlu penanganan lanjutan","Dapat diterima")</f>
        <v>Dapat diterima</v>
      </c>
      <c r="R28" s="5" t="str">
        <f t="shared" si="1"/>
        <v>Pemilik risiko</v>
      </c>
    </row>
    <row r="29" spans="1:18" ht="34.5" customHeight="1" x14ac:dyDescent="0.25">
      <c r="A29" s="7" t="s">
        <v>96</v>
      </c>
      <c r="B29" s="7" t="s">
        <v>198</v>
      </c>
      <c r="C29" s="5" t="str">
        <f>INDEX('Risk Register'!$C$6:$C$27,MATCH($A29,'Risk Register'!$A$6:$A$27,0))</f>
        <v>Data KYC pengguna bocor dari penyedia</v>
      </c>
      <c r="D29" s="7">
        <f>INDEX('Risk Register'!$J$6:$J$27,MATCH($A29,'Risk Register'!$A$6:$A$27,0))</f>
        <v>10</v>
      </c>
      <c r="E29" s="7" t="str">
        <f>INDEX('Risk Register'!$K$6:$K$27,MATCH($A29,'Risk Register'!$A$6:$A$27,0))</f>
        <v>Tinggi</v>
      </c>
      <c r="F29" s="7">
        <f>MATCH($A29,Evaluasi!$B$10:$B$31,0)</f>
        <v>12</v>
      </c>
      <c r="G29" s="7" t="s">
        <v>188</v>
      </c>
      <c r="H29" s="5" t="s">
        <v>199</v>
      </c>
      <c r="I29" s="5" t="s">
        <v>200</v>
      </c>
      <c r="J29" s="5" t="s">
        <v>201</v>
      </c>
      <c r="K29" s="5" t="str">
        <f>INDEX('Risk Register'!$D$6:$D$27,MATCH($A29,'Risk Register'!$A$6:$A$27,0))</f>
        <v>Compliance Officer</v>
      </c>
      <c r="L29" s="13">
        <f>IF(G29="Terima",EDATE($D$6,6),$D$6+Evaluasi!$D$6)</f>
        <v>46397</v>
      </c>
      <c r="M29" s="6">
        <v>2</v>
      </c>
      <c r="N29" s="6">
        <v>4</v>
      </c>
      <c r="O29" s="8">
        <f t="shared" si="0"/>
        <v>8</v>
      </c>
      <c r="P29" s="7" t="str">
        <f>IF(O29&lt;=Kriteria!$B$3,"Rendah",IF(O29&lt;=Kriteria!$B$4,"Sedang",IF(O29&lt;=Kriteria!$B$5,"Tinggi","Kritis")))</f>
        <v>Sedang</v>
      </c>
      <c r="Q29" s="5" t="str">
        <f>IF(O29&gt;Kriteria!$B$6,"Perlu penanganan lanjutan","Dapat diterima")</f>
        <v>Dapat diterima</v>
      </c>
      <c r="R29" s="5" t="str">
        <f t="shared" si="1"/>
        <v>Manajemen</v>
      </c>
    </row>
    <row r="30" spans="1:18" ht="23.25" customHeight="1" x14ac:dyDescent="0.25">
      <c r="A30" s="7" t="s">
        <v>100</v>
      </c>
      <c r="B30" s="7" t="s">
        <v>167</v>
      </c>
      <c r="C30" s="5" t="str">
        <f>INDEX('Risk Register'!$C$6:$C$27,MATCH($A30,'Risk Register'!$A$6:$A$27,0))</f>
        <v>Pengguna tidak bisa login atau bertransaksi, atau OTP disalahgunakan</v>
      </c>
      <c r="D30" s="7">
        <f>INDEX('Risk Register'!$J$6:$J$27,MATCH($A30,'Risk Register'!$A$6:$A$27,0))</f>
        <v>9</v>
      </c>
      <c r="E30" s="7" t="str">
        <f>INDEX('Risk Register'!$K$6:$K$27,MATCH($A30,'Risk Register'!$A$6:$A$27,0))</f>
        <v>Sedang</v>
      </c>
      <c r="F30" s="7">
        <f>MATCH($A30,Evaluasi!$B$10:$B$31,0)</f>
        <v>17</v>
      </c>
      <c r="G30" s="7" t="s">
        <v>168</v>
      </c>
      <c r="H30" s="5" t="s">
        <v>167</v>
      </c>
      <c r="I30" s="5" t="s">
        <v>169</v>
      </c>
      <c r="J30" s="5" t="s">
        <v>172</v>
      </c>
      <c r="K30" s="5" t="str">
        <f>INDEX('Risk Register'!$D$6:$D$27,MATCH($A30,'Risk Register'!$A$6:$A$27,0))</f>
        <v>Head of Engineering</v>
      </c>
      <c r="L30" s="13">
        <f>IF(G30="Terima",EDATE($D$6,6),$D$6+Evaluasi!$D$6)</f>
        <v>46489</v>
      </c>
      <c r="M30" s="7">
        <f>INDEX('Risk Register'!$E$6:$E$27,MATCH($A30,'Risk Register'!$A$6:$A$27,0))</f>
        <v>3</v>
      </c>
      <c r="N30" s="7">
        <f>INDEX('Risk Register'!$I$6:$I$27,MATCH($A30,'Risk Register'!$A$6:$A$27,0))</f>
        <v>3</v>
      </c>
      <c r="O30" s="8">
        <f t="shared" si="0"/>
        <v>9</v>
      </c>
      <c r="P30" s="7" t="str">
        <f>IF(O30&lt;=Kriteria!$B$3,"Rendah",IF(O30&lt;=Kriteria!$B$4,"Sedang",IF(O30&lt;=Kriteria!$B$5,"Tinggi","Kritis")))</f>
        <v>Sedang</v>
      </c>
      <c r="Q30" s="5" t="str">
        <f>IF(O30&gt;Kriteria!$B$6,"Perlu penanganan lanjutan","Dapat diterima")</f>
        <v>Dapat diterima</v>
      </c>
      <c r="R30" s="5" t="str">
        <f t="shared" si="1"/>
        <v>Pemilik risiko</v>
      </c>
    </row>
    <row r="31" spans="1:18" ht="23.25" customHeight="1" x14ac:dyDescent="0.25">
      <c r="A31" s="7" t="s">
        <v>104</v>
      </c>
      <c r="B31" s="7" t="s">
        <v>167</v>
      </c>
      <c r="C31" s="5" t="str">
        <f>INDEX('Risk Register'!$C$6:$C$27,MATCH($A31,'Risk Register'!$A$6:$A$27,0))</f>
        <v>Pengetahuan kritis hilang dan akses mantan karyawan masih aktif</v>
      </c>
      <c r="D31" s="7">
        <f>INDEX('Risk Register'!$J$6:$J$27,MATCH($A31,'Risk Register'!$A$6:$A$27,0))</f>
        <v>9</v>
      </c>
      <c r="E31" s="7" t="str">
        <f>INDEX('Risk Register'!$K$6:$K$27,MATCH($A31,'Risk Register'!$A$6:$A$27,0))</f>
        <v>Sedang</v>
      </c>
      <c r="F31" s="7">
        <f>MATCH($A31,Evaluasi!$B$10:$B$31,0)</f>
        <v>18</v>
      </c>
      <c r="G31" s="7" t="s">
        <v>168</v>
      </c>
      <c r="H31" s="5" t="s">
        <v>167</v>
      </c>
      <c r="I31" s="5" t="s">
        <v>169</v>
      </c>
      <c r="J31" s="5" t="s">
        <v>172</v>
      </c>
      <c r="K31" s="5" t="str">
        <f>INDEX('Risk Register'!$D$6:$D$27,MATCH($A31,'Risk Register'!$A$6:$A$27,0))</f>
        <v>Head of HR</v>
      </c>
      <c r="L31" s="13">
        <f>IF(G31="Terima",EDATE($D$6,6),$D$6+Evaluasi!$D$6)</f>
        <v>46489</v>
      </c>
      <c r="M31" s="7">
        <f>INDEX('Risk Register'!$E$6:$E$27,MATCH($A31,'Risk Register'!$A$6:$A$27,0))</f>
        <v>3</v>
      </c>
      <c r="N31" s="7">
        <f>INDEX('Risk Register'!$I$6:$I$27,MATCH($A31,'Risk Register'!$A$6:$A$27,0))</f>
        <v>3</v>
      </c>
      <c r="O31" s="8">
        <f t="shared" si="0"/>
        <v>9</v>
      </c>
      <c r="P31" s="7" t="str">
        <f>IF(O31&lt;=Kriteria!$B$3,"Rendah",IF(O31&lt;=Kriteria!$B$4,"Sedang",IF(O31&lt;=Kriteria!$B$5,"Tinggi","Kritis")))</f>
        <v>Sedang</v>
      </c>
      <c r="Q31" s="5" t="str">
        <f>IF(O31&gt;Kriteria!$B$6,"Perlu penanganan lanjutan","Dapat diterima")</f>
        <v>Dapat diterima</v>
      </c>
      <c r="R31" s="5" t="str">
        <f t="shared" si="1"/>
        <v>Pemilik risiko</v>
      </c>
    </row>
    <row r="33" spans="1:1" ht="15" customHeight="1" x14ac:dyDescent="0.25">
      <c r="A33" s="11" t="s">
        <v>202</v>
      </c>
    </row>
    <row r="34" spans="1:1" ht="15" customHeight="1" x14ac:dyDescent="0.25">
      <c r="A34" s="11" t="s">
        <v>203</v>
      </c>
    </row>
  </sheetData>
  <autoFilter ref="A9:R31" xr:uid="{00000000-0009-0000-0000-000002000000}"/>
  <conditionalFormatting sqref="E10:E31">
    <cfRule type="expression" dxfId="13" priority="2">
      <formula>$E10="Rendah"</formula>
    </cfRule>
    <cfRule type="expression" dxfId="12" priority="3">
      <formula>$E10="Sedang"</formula>
    </cfRule>
    <cfRule type="expression" dxfId="11" priority="4">
      <formula>$E10="Tinggi"</formula>
    </cfRule>
    <cfRule type="expression" dxfId="10" priority="5">
      <formula>$E10="Kritis"</formula>
    </cfRule>
  </conditionalFormatting>
  <conditionalFormatting sqref="P10:P31">
    <cfRule type="expression" dxfId="9" priority="6">
      <formula>$P10="Rendah"</formula>
    </cfRule>
    <cfRule type="expression" dxfId="8" priority="7">
      <formula>$P10="Sedang"</formula>
    </cfRule>
    <cfRule type="expression" dxfId="7" priority="8">
      <formula>$P10="Tinggi"</formula>
    </cfRule>
    <cfRule type="expression" dxfId="6" priority="9">
      <formula>$P10="Kritis"</formula>
    </cfRule>
  </conditionalFormatting>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1"/>
  <sheetViews>
    <sheetView zoomScaleNormal="100" workbookViewId="0"/>
  </sheetViews>
  <sheetFormatPr defaultColWidth="8.7109375" defaultRowHeight="15" x14ac:dyDescent="0.25"/>
  <cols>
    <col min="1" max="1" width="8" customWidth="1"/>
    <col min="2" max="2" width="26" customWidth="1"/>
    <col min="3" max="3" width="44" customWidth="1"/>
    <col min="4" max="4" width="20" customWidth="1"/>
    <col min="5" max="5" width="54" customWidth="1"/>
    <col min="6" max="6" width="28" customWidth="1"/>
    <col min="7" max="7" width="12" customWidth="1"/>
  </cols>
  <sheetData>
    <row r="1" spans="1:7" ht="15.75" customHeight="1" x14ac:dyDescent="0.25">
      <c r="A1" s="2" t="s">
        <v>204</v>
      </c>
    </row>
    <row r="2" spans="1:7" ht="15" customHeight="1" x14ac:dyDescent="0.25">
      <c r="A2" s="3" t="s">
        <v>205</v>
      </c>
    </row>
    <row r="4" spans="1:7" ht="23.25" customHeight="1" x14ac:dyDescent="0.25">
      <c r="A4" s="4" t="s">
        <v>206</v>
      </c>
      <c r="B4" s="4" t="s">
        <v>125</v>
      </c>
      <c r="C4" s="4" t="s">
        <v>207</v>
      </c>
      <c r="D4" s="4" t="s">
        <v>208</v>
      </c>
      <c r="E4" s="4" t="s">
        <v>209</v>
      </c>
      <c r="F4" s="4" t="s">
        <v>210</v>
      </c>
      <c r="G4" s="4" t="s">
        <v>211</v>
      </c>
    </row>
    <row r="5" spans="1:7" ht="23.25" customHeight="1" x14ac:dyDescent="0.25">
      <c r="A5" s="7" t="s">
        <v>146</v>
      </c>
      <c r="B5" s="5" t="s">
        <v>212</v>
      </c>
      <c r="C5" s="5" t="s">
        <v>213</v>
      </c>
      <c r="D5" s="7" t="s">
        <v>214</v>
      </c>
      <c r="E5" s="5" t="s">
        <v>215</v>
      </c>
      <c r="F5" s="5" t="s">
        <v>216</v>
      </c>
      <c r="G5" s="7">
        <f>COUNTIF(Penanganan!$B$10:$B$31,A5)</f>
        <v>4</v>
      </c>
    </row>
    <row r="6" spans="1:7" ht="23.25" customHeight="1" x14ac:dyDescent="0.25">
      <c r="A6" s="7" t="s">
        <v>157</v>
      </c>
      <c r="B6" s="5" t="s">
        <v>217</v>
      </c>
      <c r="C6" s="5" t="s">
        <v>218</v>
      </c>
      <c r="D6" s="7" t="s">
        <v>219</v>
      </c>
      <c r="E6" s="5" t="s">
        <v>220</v>
      </c>
      <c r="F6" s="5" t="s">
        <v>221</v>
      </c>
      <c r="G6" s="7">
        <f>COUNTIF(Penanganan!$B$10:$B$31,A6)</f>
        <v>3</v>
      </c>
    </row>
    <row r="7" spans="1:7" ht="23.25" customHeight="1" x14ac:dyDescent="0.25">
      <c r="A7" s="7" t="s">
        <v>141</v>
      </c>
      <c r="B7" s="5" t="s">
        <v>222</v>
      </c>
      <c r="C7" s="5" t="s">
        <v>223</v>
      </c>
      <c r="D7" s="7" t="s">
        <v>224</v>
      </c>
      <c r="E7" s="5" t="s">
        <v>225</v>
      </c>
      <c r="F7" s="5" t="s">
        <v>143</v>
      </c>
      <c r="G7" s="7">
        <f>COUNTIF(Penanganan!$B$10:$B$31,A7)</f>
        <v>2</v>
      </c>
    </row>
    <row r="8" spans="1:7" ht="23.25" customHeight="1" x14ac:dyDescent="0.25">
      <c r="A8" s="7" t="s">
        <v>173</v>
      </c>
      <c r="B8" s="5" t="s">
        <v>226</v>
      </c>
      <c r="C8" s="5" t="s">
        <v>227</v>
      </c>
      <c r="D8" s="7" t="s">
        <v>228</v>
      </c>
      <c r="E8" s="5" t="s">
        <v>229</v>
      </c>
      <c r="F8" s="5" t="s">
        <v>230</v>
      </c>
      <c r="G8" s="7">
        <f>COUNTIF(Penanganan!$B$10:$B$31,A8)</f>
        <v>2</v>
      </c>
    </row>
    <row r="9" spans="1:7" ht="23.25" customHeight="1" x14ac:dyDescent="0.25">
      <c r="A9" s="7" t="s">
        <v>150</v>
      </c>
      <c r="B9" s="5" t="s">
        <v>231</v>
      </c>
      <c r="C9" s="5" t="s">
        <v>232</v>
      </c>
      <c r="D9" s="7" t="s">
        <v>27</v>
      </c>
      <c r="E9" s="5" t="s">
        <v>233</v>
      </c>
      <c r="F9" s="5" t="s">
        <v>234</v>
      </c>
      <c r="G9" s="7">
        <f>COUNTIF(Penanganan!$B$10:$B$31,A9)</f>
        <v>1</v>
      </c>
    </row>
    <row r="10" spans="1:7" ht="23.25" customHeight="1" x14ac:dyDescent="0.25">
      <c r="A10" s="7" t="s">
        <v>198</v>
      </c>
      <c r="B10" s="5" t="s">
        <v>235</v>
      </c>
      <c r="C10" s="5" t="s">
        <v>236</v>
      </c>
      <c r="D10" s="7" t="s">
        <v>96</v>
      </c>
      <c r="E10" s="5" t="s">
        <v>237</v>
      </c>
      <c r="F10" s="5" t="s">
        <v>199</v>
      </c>
      <c r="G10" s="7">
        <f>COUNTIF(Penanganan!$B$10:$B$31,A10)</f>
        <v>1</v>
      </c>
    </row>
    <row r="11" spans="1:7" ht="23.25" customHeight="1" x14ac:dyDescent="0.25">
      <c r="A11" s="7" t="s">
        <v>183</v>
      </c>
      <c r="B11" s="5" t="s">
        <v>238</v>
      </c>
      <c r="C11" s="5" t="s">
        <v>239</v>
      </c>
      <c r="D11" s="7" t="s">
        <v>68</v>
      </c>
      <c r="E11" s="5" t="s">
        <v>240</v>
      </c>
      <c r="F11" s="5" t="s">
        <v>184</v>
      </c>
      <c r="G11" s="7">
        <f>COUNTIF(Penanganan!$B$10:$B$31,A11)</f>
        <v>1</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7"/>
  <sheetViews>
    <sheetView zoomScaleNormal="100" workbookViewId="0"/>
  </sheetViews>
  <sheetFormatPr defaultColWidth="8.7109375" defaultRowHeight="15" x14ac:dyDescent="0.25"/>
  <cols>
    <col min="1" max="1" width="34" customWidth="1"/>
    <col min="2" max="6" width="11" customWidth="1"/>
  </cols>
  <sheetData>
    <row r="1" spans="1:6" ht="15.75" customHeight="1" x14ac:dyDescent="0.25">
      <c r="A1" s="2" t="s">
        <v>241</v>
      </c>
    </row>
    <row r="2" spans="1:6" ht="15" customHeight="1" x14ac:dyDescent="0.25">
      <c r="A2" s="3" t="s">
        <v>242</v>
      </c>
    </row>
    <row r="3" spans="1:6" ht="15" customHeight="1" x14ac:dyDescent="0.25">
      <c r="A3" s="3" t="s">
        <v>243</v>
      </c>
      <c r="B3" s="14">
        <v>4</v>
      </c>
    </row>
    <row r="4" spans="1:6" ht="15" customHeight="1" x14ac:dyDescent="0.25">
      <c r="A4" s="3" t="s">
        <v>244</v>
      </c>
      <c r="B4" s="14">
        <v>9</v>
      </c>
    </row>
    <row r="5" spans="1:6" ht="15" customHeight="1" x14ac:dyDescent="0.25">
      <c r="A5" s="3" t="s">
        <v>245</v>
      </c>
      <c r="B5" s="14">
        <v>16</v>
      </c>
    </row>
    <row r="6" spans="1:6" ht="15" customHeight="1" x14ac:dyDescent="0.25">
      <c r="A6" s="3" t="s">
        <v>246</v>
      </c>
      <c r="B6" s="15">
        <f>B4</f>
        <v>9</v>
      </c>
    </row>
    <row r="7" spans="1:6" ht="15" customHeight="1" x14ac:dyDescent="0.25">
      <c r="A7" s="11" t="s">
        <v>247</v>
      </c>
    </row>
    <row r="9" spans="1:6" ht="15" customHeight="1" x14ac:dyDescent="0.25">
      <c r="A9" s="16" t="s">
        <v>248</v>
      </c>
    </row>
    <row r="10" spans="1:6" ht="15" customHeight="1" x14ac:dyDescent="0.25">
      <c r="A10" s="17" t="s">
        <v>249</v>
      </c>
      <c r="B10" s="17">
        <v>1</v>
      </c>
      <c r="C10" s="17">
        <v>2</v>
      </c>
      <c r="D10" s="17">
        <v>3</v>
      </c>
      <c r="E10" s="17">
        <v>4</v>
      </c>
      <c r="F10" s="17">
        <v>5</v>
      </c>
    </row>
    <row r="11" spans="1:6" ht="15" customHeight="1" x14ac:dyDescent="0.25">
      <c r="A11" s="18">
        <v>5</v>
      </c>
      <c r="B11" s="19">
        <f t="shared" ref="B11:F15" si="0">$A11*B$10</f>
        <v>5</v>
      </c>
      <c r="C11" s="19">
        <f t="shared" si="0"/>
        <v>10</v>
      </c>
      <c r="D11" s="19">
        <f t="shared" si="0"/>
        <v>15</v>
      </c>
      <c r="E11" s="19">
        <f t="shared" si="0"/>
        <v>20</v>
      </c>
      <c r="F11" s="19">
        <f t="shared" si="0"/>
        <v>25</v>
      </c>
    </row>
    <row r="12" spans="1:6" ht="15" customHeight="1" x14ac:dyDescent="0.25">
      <c r="A12" s="20">
        <v>4</v>
      </c>
      <c r="B12" s="19">
        <f t="shared" si="0"/>
        <v>4</v>
      </c>
      <c r="C12" s="19">
        <f t="shared" si="0"/>
        <v>8</v>
      </c>
      <c r="D12" s="19">
        <f t="shared" si="0"/>
        <v>12</v>
      </c>
      <c r="E12" s="19">
        <f t="shared" si="0"/>
        <v>16</v>
      </c>
      <c r="F12" s="19">
        <f t="shared" si="0"/>
        <v>20</v>
      </c>
    </row>
    <row r="13" spans="1:6" ht="15" customHeight="1" x14ac:dyDescent="0.25">
      <c r="A13" s="21">
        <v>3</v>
      </c>
      <c r="B13" s="19">
        <f t="shared" si="0"/>
        <v>3</v>
      </c>
      <c r="C13" s="19">
        <f t="shared" si="0"/>
        <v>6</v>
      </c>
      <c r="D13" s="19">
        <f t="shared" si="0"/>
        <v>9</v>
      </c>
      <c r="E13" s="19">
        <f t="shared" si="0"/>
        <v>12</v>
      </c>
      <c r="F13" s="19">
        <f t="shared" si="0"/>
        <v>15</v>
      </c>
    </row>
    <row r="14" spans="1:6" ht="15" customHeight="1" x14ac:dyDescent="0.25">
      <c r="A14" s="22">
        <v>2</v>
      </c>
      <c r="B14" s="19">
        <f t="shared" si="0"/>
        <v>2</v>
      </c>
      <c r="C14" s="19">
        <f t="shared" si="0"/>
        <v>4</v>
      </c>
      <c r="D14" s="19">
        <f t="shared" si="0"/>
        <v>6</v>
      </c>
      <c r="E14" s="19">
        <f t="shared" si="0"/>
        <v>8</v>
      </c>
      <c r="F14" s="19">
        <f t="shared" si="0"/>
        <v>10</v>
      </c>
    </row>
    <row r="15" spans="1:6" ht="15" customHeight="1" x14ac:dyDescent="0.25">
      <c r="A15" s="23">
        <v>1</v>
      </c>
      <c r="B15" s="19">
        <f t="shared" si="0"/>
        <v>1</v>
      </c>
      <c r="C15" s="19">
        <f t="shared" si="0"/>
        <v>2</v>
      </c>
      <c r="D15" s="19">
        <f t="shared" si="0"/>
        <v>3</v>
      </c>
      <c r="E15" s="19">
        <f t="shared" si="0"/>
        <v>4</v>
      </c>
      <c r="F15" s="19">
        <f t="shared" si="0"/>
        <v>5</v>
      </c>
    </row>
    <row r="17" spans="1:1" ht="15" customHeight="1" x14ac:dyDescent="0.25">
      <c r="A17" s="11" t="s">
        <v>250</v>
      </c>
    </row>
  </sheetData>
  <conditionalFormatting sqref="B11:F15">
    <cfRule type="cellIs" dxfId="5" priority="2" operator="lessThanOrEqual">
      <formula>4</formula>
    </cfRule>
    <cfRule type="cellIs" dxfId="4" priority="3" operator="between">
      <formula>5</formula>
      <formula>9</formula>
    </cfRule>
    <cfRule type="cellIs" dxfId="3" priority="4" operator="between">
      <formula>10</formula>
      <formula>16</formula>
    </cfRule>
    <cfRule type="cellIs" dxfId="2" priority="5" operator="greaterThanOrEqual">
      <formula>17</formula>
    </cfRule>
  </conditionalFormatting>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5"/>
  <sheetViews>
    <sheetView zoomScaleNormal="100" workbookViewId="0"/>
  </sheetViews>
  <sheetFormatPr defaultColWidth="8.7109375" defaultRowHeight="15" x14ac:dyDescent="0.25"/>
  <cols>
    <col min="1" max="1" width="42" customWidth="1"/>
    <col min="2" max="2" width="16" customWidth="1"/>
  </cols>
  <sheetData>
    <row r="1" spans="1:2" ht="15.75" customHeight="1" x14ac:dyDescent="0.25">
      <c r="A1" s="2" t="s">
        <v>251</v>
      </c>
    </row>
    <row r="3" spans="1:2" ht="15" customHeight="1" x14ac:dyDescent="0.25">
      <c r="A3" s="24" t="s">
        <v>13</v>
      </c>
      <c r="B3" s="24" t="s">
        <v>211</v>
      </c>
    </row>
    <row r="4" spans="1:2" ht="15" customHeight="1" x14ac:dyDescent="0.25">
      <c r="A4" s="15" t="s">
        <v>252</v>
      </c>
      <c r="B4" s="15">
        <f>COUNTIF('Risk Register'!$K$6:$K$27,A4)</f>
        <v>0</v>
      </c>
    </row>
    <row r="5" spans="1:2" ht="15" customHeight="1" x14ac:dyDescent="0.25">
      <c r="A5" s="15" t="s">
        <v>253</v>
      </c>
      <c r="B5" s="15">
        <f>COUNTIF('Risk Register'!$K$6:$K$27,A5)</f>
        <v>10</v>
      </c>
    </row>
    <row r="6" spans="1:2" ht="15" customHeight="1" x14ac:dyDescent="0.25">
      <c r="A6" s="15" t="s">
        <v>254</v>
      </c>
      <c r="B6" s="15">
        <f>COUNTIF('Risk Register'!$K$6:$K$27,A6)</f>
        <v>12</v>
      </c>
    </row>
    <row r="7" spans="1:2" ht="15" customHeight="1" x14ac:dyDescent="0.25">
      <c r="A7" s="15" t="s">
        <v>255</v>
      </c>
      <c r="B7" s="15">
        <f>COUNTIF('Risk Register'!$K$6:$K$27,A7)</f>
        <v>0</v>
      </c>
    </row>
    <row r="8" spans="1:2" ht="15" customHeight="1" x14ac:dyDescent="0.25">
      <c r="A8" s="25" t="s">
        <v>256</v>
      </c>
      <c r="B8" s="25">
        <f>SUM(B4:B7)</f>
        <v>22</v>
      </c>
    </row>
    <row r="9" spans="1:2" ht="15" customHeight="1" x14ac:dyDescent="0.25">
      <c r="A9" s="15" t="s">
        <v>257</v>
      </c>
      <c r="B9" s="15">
        <f>COUNTIF('Risk Register'!$L$6:$L$27,"Perlu ditangani")</f>
        <v>12</v>
      </c>
    </row>
    <row r="10" spans="1:2" ht="15" customHeight="1" x14ac:dyDescent="0.25">
      <c r="A10" s="15" t="s">
        <v>258</v>
      </c>
      <c r="B10" s="15">
        <f>MAX('Risk Register'!$J$6:$J$27)</f>
        <v>16</v>
      </c>
    </row>
    <row r="12" spans="1:2" ht="15" customHeight="1" x14ac:dyDescent="0.25">
      <c r="A12" s="16" t="s">
        <v>259</v>
      </c>
    </row>
    <row r="13" spans="1:2" ht="15" customHeight="1" x14ac:dyDescent="0.25">
      <c r="A13" s="15" t="s">
        <v>260</v>
      </c>
      <c r="B13" s="15">
        <f>COUNTIF(Penanganan!$G$10:$G$31,"Mitigasi*")</f>
        <v>14</v>
      </c>
    </row>
    <row r="14" spans="1:2" ht="15" customHeight="1" x14ac:dyDescent="0.25">
      <c r="A14" s="15" t="s">
        <v>261</v>
      </c>
      <c r="B14" s="15">
        <f>COUNTIF(Penanganan!$G$10:$G$31,"Terima")</f>
        <v>8</v>
      </c>
    </row>
    <row r="15" spans="1:2" ht="15" customHeight="1" x14ac:dyDescent="0.25">
      <c r="A15" s="15" t="s">
        <v>262</v>
      </c>
      <c r="B15" s="15">
        <f>COUNTIF(Penanganan!$Q$10:$Q$31,"Perlu penanganan lanjutan")</f>
        <v>0</v>
      </c>
    </row>
    <row r="16" spans="1:2" ht="15" customHeight="1" x14ac:dyDescent="0.25">
      <c r="A16" s="15" t="s">
        <v>263</v>
      </c>
      <c r="B16" s="15">
        <f>MAX(Penanganan!$O$10:$O$31)</f>
        <v>9</v>
      </c>
    </row>
    <row r="17" spans="1:2" ht="15" customHeight="1" x14ac:dyDescent="0.25">
      <c r="A17" s="15" t="s">
        <v>264</v>
      </c>
      <c r="B17" s="15">
        <f>COUNTA(Kelompok!$A$5:$A$11)</f>
        <v>7</v>
      </c>
    </row>
    <row r="19" spans="1:2" ht="15" customHeight="1" x14ac:dyDescent="0.25">
      <c r="A19" s="16" t="s">
        <v>265</v>
      </c>
    </row>
    <row r="20" spans="1:2" ht="15" customHeight="1" x14ac:dyDescent="0.25">
      <c r="A20" s="3" t="s">
        <v>266</v>
      </c>
      <c r="B20" s="3">
        <f>COUNTA(SoA!$A$7:$A$99)</f>
        <v>93</v>
      </c>
    </row>
    <row r="21" spans="1:2" ht="15" customHeight="1" x14ac:dyDescent="0.25">
      <c r="A21" s="3" t="s">
        <v>267</v>
      </c>
      <c r="B21" s="3">
        <f>COUNTIF(SoA!$D$7:$D$99,"Ya")</f>
        <v>84</v>
      </c>
    </row>
    <row r="22" spans="1:2" ht="15" customHeight="1" x14ac:dyDescent="0.25">
      <c r="A22" s="3" t="s">
        <v>268</v>
      </c>
      <c r="B22" s="3">
        <f>COUNTIF(SoA!$D$7:$D$99,"Tidak")</f>
        <v>9</v>
      </c>
    </row>
    <row r="23" spans="1:2" ht="15" customHeight="1" x14ac:dyDescent="0.25">
      <c r="A23" s="3" t="s">
        <v>269</v>
      </c>
      <c r="B23" s="3">
        <f>COUNTIFS(SoA!$D$7:$D$99,"Ya",SoA!$E$7:$E$99,"Risiko")</f>
        <v>34</v>
      </c>
    </row>
    <row r="24" spans="1:2" ht="15" customHeight="1" x14ac:dyDescent="0.25">
      <c r="A24" s="3" t="s">
        <v>270</v>
      </c>
      <c r="B24" s="3">
        <f>B21-B23</f>
        <v>50</v>
      </c>
    </row>
    <row r="25" spans="1:2" ht="15" customHeight="1" x14ac:dyDescent="0.25">
      <c r="A25" s="3" t="s">
        <v>271</v>
      </c>
      <c r="B25" s="3">
        <f>COUNTIF(SoA!$I$7:$I$99,"Sudah diterapkan")</f>
        <v>2</v>
      </c>
    </row>
    <row r="26" spans="1:2" ht="15" customHeight="1" x14ac:dyDescent="0.25">
      <c r="A26" s="3" t="s">
        <v>272</v>
      </c>
      <c r="B26" s="3">
        <f>COUNTIF(SoA!$I$7:$I$99,"Sebagian")</f>
        <v>45</v>
      </c>
    </row>
    <row r="27" spans="1:2" ht="15" customHeight="1" x14ac:dyDescent="0.25">
      <c r="A27" s="3" t="s">
        <v>273</v>
      </c>
      <c r="B27" s="3">
        <f>COUNTIF(SoA!$I$7:$I$99,"Terencana")</f>
        <v>36</v>
      </c>
    </row>
    <row r="28" spans="1:2" ht="15" customHeight="1" x14ac:dyDescent="0.25">
      <c r="A28" s="3" t="s">
        <v>274</v>
      </c>
      <c r="B28" s="3">
        <f>COUNTIF(SoA!$I$7:$I$99,"Belum")</f>
        <v>1</v>
      </c>
    </row>
    <row r="29" spans="1:2" ht="15" customHeight="1" x14ac:dyDescent="0.25">
      <c r="A29" s="3" t="s">
        <v>275</v>
      </c>
      <c r="B29" s="3">
        <f>COUNTA(Pemetaan!$A$5:$A$64)</f>
        <v>60</v>
      </c>
    </row>
    <row r="30" spans="1:2" ht="15" customHeight="1" x14ac:dyDescent="0.25">
      <c r="A30" s="3" t="s">
        <v>276</v>
      </c>
      <c r="B30" s="3">
        <f>COUNTIF(SoA!$M$7:$M$99,"&lt;&gt;OK")</f>
        <v>0</v>
      </c>
    </row>
    <row r="31" spans="1:2" ht="15" customHeight="1" x14ac:dyDescent="0.25">
      <c r="A31" s="3" t="s">
        <v>277</v>
      </c>
      <c r="B31" s="3">
        <f>COUNTIF(SoA!$L$7:$L$99,"Ada")</f>
        <v>2</v>
      </c>
    </row>
    <row r="32" spans="1:2" ht="15" customHeight="1" x14ac:dyDescent="0.25">
      <c r="A32" s="3" t="s">
        <v>278</v>
      </c>
      <c r="B32" s="3">
        <f>COUNTIF(SoA!$L$7:$L$99,"Sebagian")</f>
        <v>45</v>
      </c>
    </row>
    <row r="33" spans="1:2" ht="15" customHeight="1" x14ac:dyDescent="0.25">
      <c r="A33" s="3" t="s">
        <v>279</v>
      </c>
      <c r="B33" s="3">
        <f>COUNTIF(SoA!$L$7:$L$99,"Belum ada")</f>
        <v>37</v>
      </c>
    </row>
    <row r="34" spans="1:2" ht="15" customHeight="1" x14ac:dyDescent="0.25">
      <c r="A34" s="3" t="s">
        <v>280</v>
      </c>
      <c r="B34" s="3">
        <f>SUMPRODUCT((LEFT(Penanganan!$G$10:$G$31,8)="Mitigasi")*(COUNTIF(Pemetaan!$A$5:$A$64,Penanganan!$A$10:$A$31)=0))</f>
        <v>0</v>
      </c>
    </row>
    <row r="35" spans="1:2" ht="15" customHeight="1" x14ac:dyDescent="0.25">
      <c r="A35" s="3"/>
      <c r="B35" s="3"/>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64"/>
  <sheetViews>
    <sheetView zoomScaleNormal="100" workbookViewId="0">
      <pane ySplit="4" topLeftCell="A5" activePane="bottomLeft" state="frozen"/>
      <selection pane="bottomLeft"/>
    </sheetView>
  </sheetViews>
  <sheetFormatPr defaultColWidth="8.7109375" defaultRowHeight="15" x14ac:dyDescent="0.25"/>
  <cols>
    <col min="1" max="1" width="9" customWidth="1"/>
    <col min="2" max="2" width="10" customWidth="1"/>
    <col min="3" max="3" width="58" customWidth="1"/>
  </cols>
  <sheetData>
    <row r="1" spans="1:3" ht="15.75" customHeight="1" x14ac:dyDescent="0.25">
      <c r="A1" s="2" t="s">
        <v>281</v>
      </c>
    </row>
    <row r="2" spans="1:3" ht="174.75" customHeight="1" x14ac:dyDescent="0.25">
      <c r="A2" s="1" t="s">
        <v>282</v>
      </c>
      <c r="B2" s="1"/>
      <c r="C2" s="1"/>
    </row>
    <row r="4" spans="1:3" ht="15" customHeight="1" x14ac:dyDescent="0.25">
      <c r="A4" s="26" t="s">
        <v>283</v>
      </c>
      <c r="B4" s="26" t="s">
        <v>284</v>
      </c>
      <c r="C4" s="26" t="s">
        <v>285</v>
      </c>
    </row>
    <row r="5" spans="1:3" ht="15" customHeight="1" x14ac:dyDescent="0.25">
      <c r="A5" s="5" t="s">
        <v>17</v>
      </c>
      <c r="B5" s="5" t="s">
        <v>286</v>
      </c>
      <c r="C5" s="5" t="str">
        <f>INDEX(SoA!$C$7:$C$99,MATCH(B5,SoA!$A$7:$A$99,0))</f>
        <v>Application security requirements</v>
      </c>
    </row>
    <row r="6" spans="1:3" ht="15" customHeight="1" x14ac:dyDescent="0.25">
      <c r="A6" s="5" t="s">
        <v>17</v>
      </c>
      <c r="B6" s="5" t="s">
        <v>287</v>
      </c>
      <c r="C6" s="5" t="str">
        <f>INDEX(SoA!$C$7:$C$99,MATCH(B6,SoA!$A$7:$A$99,0))</f>
        <v>Secure coding</v>
      </c>
    </row>
    <row r="7" spans="1:3" ht="15" customHeight="1" x14ac:dyDescent="0.25">
      <c r="A7" s="5" t="s">
        <v>17</v>
      </c>
      <c r="B7" s="5" t="s">
        <v>288</v>
      </c>
      <c r="C7" s="5" t="str">
        <f>INDEX(SoA!$C$7:$C$99,MATCH(B7,SoA!$A$7:$A$99,0))</f>
        <v>Security testing in development and acceptance</v>
      </c>
    </row>
    <row r="8" spans="1:3" ht="15" customHeight="1" x14ac:dyDescent="0.25">
      <c r="A8" s="5" t="s">
        <v>17</v>
      </c>
      <c r="B8" s="5" t="s">
        <v>289</v>
      </c>
      <c r="C8" s="5" t="str">
        <f>INDEX(SoA!$C$7:$C$99,MATCH(B8,SoA!$A$7:$A$99,0))</f>
        <v>Management of technical vulnerabilities</v>
      </c>
    </row>
    <row r="9" spans="1:3" ht="15" customHeight="1" x14ac:dyDescent="0.25">
      <c r="A9" s="5" t="s">
        <v>22</v>
      </c>
      <c r="B9" s="5" t="s">
        <v>290</v>
      </c>
      <c r="C9" s="5" t="str">
        <f>INDEX(SoA!$C$7:$C$99,MATCH(B9,SoA!$A$7:$A$99,0))</f>
        <v>Access control</v>
      </c>
    </row>
    <row r="10" spans="1:3" ht="15" customHeight="1" x14ac:dyDescent="0.25">
      <c r="A10" s="5" t="s">
        <v>22</v>
      </c>
      <c r="B10" s="5" t="s">
        <v>291</v>
      </c>
      <c r="C10" s="5" t="str">
        <f>INDEX(SoA!$C$7:$C$99,MATCH(B10,SoA!$A$7:$A$99,0))</f>
        <v>Access rights</v>
      </c>
    </row>
    <row r="11" spans="1:3" ht="15" customHeight="1" x14ac:dyDescent="0.25">
      <c r="A11" s="5" t="s">
        <v>22</v>
      </c>
      <c r="B11" s="5" t="s">
        <v>292</v>
      </c>
      <c r="C11" s="5" t="str">
        <f>INDEX(SoA!$C$7:$C$99,MATCH(B11,SoA!$A$7:$A$99,0))</f>
        <v>Privileged access rights</v>
      </c>
    </row>
    <row r="12" spans="1:3" ht="15" customHeight="1" x14ac:dyDescent="0.25">
      <c r="A12" s="5" t="s">
        <v>22</v>
      </c>
      <c r="B12" s="5" t="s">
        <v>293</v>
      </c>
      <c r="C12" s="5" t="str">
        <f>INDEX(SoA!$C$7:$C$99,MATCH(B12,SoA!$A$7:$A$99,0))</f>
        <v>Information access restriction</v>
      </c>
    </row>
    <row r="13" spans="1:3" ht="15" customHeight="1" x14ac:dyDescent="0.25">
      <c r="A13" s="5" t="s">
        <v>22</v>
      </c>
      <c r="B13" s="5" t="s">
        <v>294</v>
      </c>
      <c r="C13" s="5" t="str">
        <f>INDEX(SoA!$C$7:$C$99,MATCH(B13,SoA!$A$7:$A$99,0))</f>
        <v>Secure authentication</v>
      </c>
    </row>
    <row r="14" spans="1:3" ht="15" customHeight="1" x14ac:dyDescent="0.25">
      <c r="A14" s="5" t="s">
        <v>22</v>
      </c>
      <c r="B14" s="5" t="s">
        <v>295</v>
      </c>
      <c r="C14" s="5" t="str">
        <f>INDEX(SoA!$C$7:$C$99,MATCH(B14,SoA!$A$7:$A$99,0))</f>
        <v>Logging</v>
      </c>
    </row>
    <row r="15" spans="1:3" ht="15" customHeight="1" x14ac:dyDescent="0.25">
      <c r="A15" s="5" t="s">
        <v>27</v>
      </c>
      <c r="B15" s="5" t="s">
        <v>296</v>
      </c>
      <c r="C15" s="5" t="str">
        <f>INDEX(SoA!$C$7:$C$99,MATCH(B15,SoA!$A$7:$A$99,0))</f>
        <v>Configuration management</v>
      </c>
    </row>
    <row r="16" spans="1:3" ht="15" customHeight="1" x14ac:dyDescent="0.25">
      <c r="A16" s="5" t="s">
        <v>27</v>
      </c>
      <c r="B16" s="5" t="s">
        <v>293</v>
      </c>
      <c r="C16" s="5" t="str">
        <f>INDEX(SoA!$C$7:$C$99,MATCH(B16,SoA!$A$7:$A$99,0))</f>
        <v>Information access restriction</v>
      </c>
    </row>
    <row r="17" spans="1:3" ht="15" customHeight="1" x14ac:dyDescent="0.25">
      <c r="A17" s="5" t="s">
        <v>27</v>
      </c>
      <c r="B17" s="5" t="s">
        <v>297</v>
      </c>
      <c r="C17" s="5" t="str">
        <f>INDEX(SoA!$C$7:$C$99,MATCH(B17,SoA!$A$7:$A$99,0))</f>
        <v>Use of cryptography</v>
      </c>
    </row>
    <row r="18" spans="1:3" ht="15" customHeight="1" x14ac:dyDescent="0.25">
      <c r="A18" s="5" t="s">
        <v>27</v>
      </c>
      <c r="B18" s="5" t="s">
        <v>298</v>
      </c>
      <c r="C18" s="5" t="str">
        <f>INDEX(SoA!$C$7:$C$99,MATCH(B18,SoA!$A$7:$A$99,0))</f>
        <v>Monitoring activities</v>
      </c>
    </row>
    <row r="19" spans="1:3" ht="15" customHeight="1" x14ac:dyDescent="0.25">
      <c r="A19" s="5" t="s">
        <v>27</v>
      </c>
      <c r="B19" s="5" t="s">
        <v>299</v>
      </c>
      <c r="C19" s="5" t="str">
        <f>INDEX(SoA!$C$7:$C$99,MATCH(B19,SoA!$A$7:$A$99,0))</f>
        <v>Information security for use of cloud services</v>
      </c>
    </row>
    <row r="20" spans="1:3" ht="15" customHeight="1" x14ac:dyDescent="0.25">
      <c r="A20" s="5" t="s">
        <v>31</v>
      </c>
      <c r="B20" s="5" t="s">
        <v>300</v>
      </c>
      <c r="C20" s="5" t="str">
        <f>INDEX(SoA!$C$7:$C$99,MATCH(B20,SoA!$A$7:$A$99,0))</f>
        <v>Segregation of duties</v>
      </c>
    </row>
    <row r="21" spans="1:3" ht="15" customHeight="1" x14ac:dyDescent="0.25">
      <c r="A21" s="5" t="s">
        <v>31</v>
      </c>
      <c r="B21" s="5" t="s">
        <v>293</v>
      </c>
      <c r="C21" s="5" t="str">
        <f>INDEX(SoA!$C$7:$C$99,MATCH(B21,SoA!$A$7:$A$99,0))</f>
        <v>Information access restriction</v>
      </c>
    </row>
    <row r="22" spans="1:3" ht="15" customHeight="1" x14ac:dyDescent="0.25">
      <c r="A22" s="5" t="s">
        <v>31</v>
      </c>
      <c r="B22" s="5" t="s">
        <v>292</v>
      </c>
      <c r="C22" s="5" t="str">
        <f>INDEX(SoA!$C$7:$C$99,MATCH(B22,SoA!$A$7:$A$99,0))</f>
        <v>Privileged access rights</v>
      </c>
    </row>
    <row r="23" spans="1:3" ht="15" customHeight="1" x14ac:dyDescent="0.25">
      <c r="A23" s="5" t="s">
        <v>31</v>
      </c>
      <c r="B23" s="5" t="s">
        <v>295</v>
      </c>
      <c r="C23" s="5" t="str">
        <f>INDEX(SoA!$C$7:$C$99,MATCH(B23,SoA!$A$7:$A$99,0))</f>
        <v>Logging</v>
      </c>
    </row>
    <row r="24" spans="1:3" ht="15" customHeight="1" x14ac:dyDescent="0.25">
      <c r="A24" s="5" t="s">
        <v>36</v>
      </c>
      <c r="B24" s="5" t="s">
        <v>297</v>
      </c>
      <c r="C24" s="5" t="str">
        <f>INDEX(SoA!$C$7:$C$99,MATCH(B24,SoA!$A$7:$A$99,0))</f>
        <v>Use of cryptography</v>
      </c>
    </row>
    <row r="25" spans="1:3" ht="15" customHeight="1" x14ac:dyDescent="0.25">
      <c r="A25" s="5" t="s">
        <v>36</v>
      </c>
      <c r="B25" s="5" t="s">
        <v>301</v>
      </c>
      <c r="C25" s="5" t="str">
        <f>INDEX(SoA!$C$7:$C$99,MATCH(B25,SoA!$A$7:$A$99,0))</f>
        <v>Authentication information</v>
      </c>
    </row>
    <row r="26" spans="1:3" ht="15" customHeight="1" x14ac:dyDescent="0.25">
      <c r="A26" s="5" t="s">
        <v>36</v>
      </c>
      <c r="B26" s="5" t="s">
        <v>287</v>
      </c>
      <c r="C26" s="5" t="str">
        <f>INDEX(SoA!$C$7:$C$99,MATCH(B26,SoA!$A$7:$A$99,0))</f>
        <v>Secure coding</v>
      </c>
    </row>
    <row r="27" spans="1:3" ht="15" customHeight="1" x14ac:dyDescent="0.25">
      <c r="A27" s="5" t="s">
        <v>36</v>
      </c>
      <c r="B27" s="5" t="s">
        <v>302</v>
      </c>
      <c r="C27" s="5" t="str">
        <f>INDEX(SoA!$C$7:$C$99,MATCH(B27,SoA!$A$7:$A$99,0))</f>
        <v>Access to source code</v>
      </c>
    </row>
    <row r="28" spans="1:3" ht="15" customHeight="1" x14ac:dyDescent="0.25">
      <c r="A28" s="5" t="s">
        <v>41</v>
      </c>
      <c r="B28" s="5" t="s">
        <v>302</v>
      </c>
      <c r="C28" s="5" t="str">
        <f>INDEX(SoA!$C$7:$C$99,MATCH(B28,SoA!$A$7:$A$99,0))</f>
        <v>Access to source code</v>
      </c>
    </row>
    <row r="29" spans="1:3" ht="15" customHeight="1" x14ac:dyDescent="0.25">
      <c r="A29" s="5" t="s">
        <v>41</v>
      </c>
      <c r="B29" s="5" t="s">
        <v>291</v>
      </c>
      <c r="C29" s="5" t="str">
        <f>INDEX(SoA!$C$7:$C$99,MATCH(B29,SoA!$A$7:$A$99,0))</f>
        <v>Access rights</v>
      </c>
    </row>
    <row r="30" spans="1:3" ht="15" customHeight="1" x14ac:dyDescent="0.25">
      <c r="A30" s="5" t="s">
        <v>41</v>
      </c>
      <c r="B30" s="5" t="s">
        <v>294</v>
      </c>
      <c r="C30" s="5" t="str">
        <f>INDEX(SoA!$C$7:$C$99,MATCH(B30,SoA!$A$7:$A$99,0))</f>
        <v>Secure authentication</v>
      </c>
    </row>
    <row r="31" spans="1:3" ht="15" customHeight="1" x14ac:dyDescent="0.25">
      <c r="A31" s="5" t="s">
        <v>41</v>
      </c>
      <c r="B31" s="5" t="s">
        <v>293</v>
      </c>
      <c r="C31" s="5" t="str">
        <f>INDEX(SoA!$C$7:$C$99,MATCH(B31,SoA!$A$7:$A$99,0))</f>
        <v>Information access restriction</v>
      </c>
    </row>
    <row r="32" spans="1:3" ht="15" customHeight="1" x14ac:dyDescent="0.25">
      <c r="A32" s="5" t="s">
        <v>45</v>
      </c>
      <c r="B32" s="5" t="s">
        <v>302</v>
      </c>
      <c r="C32" s="5" t="str">
        <f>INDEX(SoA!$C$7:$C$99,MATCH(B32,SoA!$A$7:$A$99,0))</f>
        <v>Access to source code</v>
      </c>
    </row>
    <row r="33" spans="1:3" ht="15" customHeight="1" x14ac:dyDescent="0.25">
      <c r="A33" s="5" t="s">
        <v>45</v>
      </c>
      <c r="B33" s="5" t="s">
        <v>303</v>
      </c>
      <c r="C33" s="5" t="str">
        <f>INDEX(SoA!$C$7:$C$99,MATCH(B33,SoA!$A$7:$A$99,0))</f>
        <v>Change management</v>
      </c>
    </row>
    <row r="34" spans="1:3" ht="15" customHeight="1" x14ac:dyDescent="0.25">
      <c r="A34" s="5" t="s">
        <v>45</v>
      </c>
      <c r="B34" s="5" t="s">
        <v>291</v>
      </c>
      <c r="C34" s="5" t="str">
        <f>INDEX(SoA!$C$7:$C$99,MATCH(B34,SoA!$A$7:$A$99,0))</f>
        <v>Access rights</v>
      </c>
    </row>
    <row r="35" spans="1:3" ht="15" customHeight="1" x14ac:dyDescent="0.25">
      <c r="A35" s="5" t="s">
        <v>45</v>
      </c>
      <c r="B35" s="5" t="s">
        <v>294</v>
      </c>
      <c r="C35" s="5" t="str">
        <f>INDEX(SoA!$C$7:$C$99,MATCH(B35,SoA!$A$7:$A$99,0))</f>
        <v>Secure authentication</v>
      </c>
    </row>
    <row r="36" spans="1:3" ht="15" customHeight="1" x14ac:dyDescent="0.25">
      <c r="A36" s="5" t="s">
        <v>45</v>
      </c>
      <c r="B36" s="5" t="s">
        <v>304</v>
      </c>
      <c r="C36" s="5" t="str">
        <f>INDEX(SoA!$C$7:$C$99,MATCH(B36,SoA!$A$7:$A$99,0))</f>
        <v>Secure development life cycle</v>
      </c>
    </row>
    <row r="37" spans="1:3" ht="15" customHeight="1" x14ac:dyDescent="0.25">
      <c r="A37" s="5" t="s">
        <v>57</v>
      </c>
      <c r="B37" s="5" t="s">
        <v>305</v>
      </c>
      <c r="C37" s="5" t="str">
        <f>INDEX(SoA!$C$7:$C$99,MATCH(B37,SoA!$A$7:$A$99,0))</f>
        <v>Capacity management</v>
      </c>
    </row>
    <row r="38" spans="1:3" ht="15" customHeight="1" x14ac:dyDescent="0.25">
      <c r="A38" s="5" t="s">
        <v>57</v>
      </c>
      <c r="B38" s="5" t="s">
        <v>306</v>
      </c>
      <c r="C38" s="5" t="str">
        <f>INDEX(SoA!$C$7:$C$99,MATCH(B38,SoA!$A$7:$A$99,0))</f>
        <v>Networks security</v>
      </c>
    </row>
    <row r="39" spans="1:3" ht="15" customHeight="1" x14ac:dyDescent="0.25">
      <c r="A39" s="5" t="s">
        <v>57</v>
      </c>
      <c r="B39" s="5" t="s">
        <v>307</v>
      </c>
      <c r="C39" s="5" t="str">
        <f>INDEX(SoA!$C$7:$C$99,MATCH(B39,SoA!$A$7:$A$99,0))</f>
        <v>Security of network services</v>
      </c>
    </row>
    <row r="40" spans="1:3" ht="15" customHeight="1" x14ac:dyDescent="0.25">
      <c r="A40" s="5" t="s">
        <v>57</v>
      </c>
      <c r="B40" s="5" t="s">
        <v>298</v>
      </c>
      <c r="C40" s="5" t="str">
        <f>INDEX(SoA!$C$7:$C$99,MATCH(B40,SoA!$A$7:$A$99,0))</f>
        <v>Monitoring activities</v>
      </c>
    </row>
    <row r="41" spans="1:3" ht="15" customHeight="1" x14ac:dyDescent="0.25">
      <c r="A41" s="5" t="s">
        <v>61</v>
      </c>
      <c r="B41" s="5" t="s">
        <v>286</v>
      </c>
      <c r="C41" s="5" t="str">
        <f>INDEX(SoA!$C$7:$C$99,MATCH(B41,SoA!$A$7:$A$99,0))</f>
        <v>Application security requirements</v>
      </c>
    </row>
    <row r="42" spans="1:3" ht="15" customHeight="1" x14ac:dyDescent="0.25">
      <c r="A42" s="5" t="s">
        <v>61</v>
      </c>
      <c r="B42" s="5" t="s">
        <v>287</v>
      </c>
      <c r="C42" s="5" t="str">
        <f>INDEX(SoA!$C$7:$C$99,MATCH(B42,SoA!$A$7:$A$99,0))</f>
        <v>Secure coding</v>
      </c>
    </row>
    <row r="43" spans="1:3" ht="15" customHeight="1" x14ac:dyDescent="0.25">
      <c r="A43" s="5" t="s">
        <v>61</v>
      </c>
      <c r="B43" s="5" t="s">
        <v>288</v>
      </c>
      <c r="C43" s="5" t="str">
        <f>INDEX(SoA!$C$7:$C$99,MATCH(B43,SoA!$A$7:$A$99,0))</f>
        <v>Security testing in development and acceptance</v>
      </c>
    </row>
    <row r="44" spans="1:3" ht="15" customHeight="1" x14ac:dyDescent="0.25">
      <c r="A44" s="5" t="s">
        <v>61</v>
      </c>
      <c r="B44" s="5" t="s">
        <v>293</v>
      </c>
      <c r="C44" s="5" t="str">
        <f>INDEX(SoA!$C$7:$C$99,MATCH(B44,SoA!$A$7:$A$99,0))</f>
        <v>Information access restriction</v>
      </c>
    </row>
    <row r="45" spans="1:3" ht="15" customHeight="1" x14ac:dyDescent="0.25">
      <c r="A45" s="5" t="s">
        <v>61</v>
      </c>
      <c r="B45" s="5" t="s">
        <v>298</v>
      </c>
      <c r="C45" s="5" t="str">
        <f>INDEX(SoA!$C$7:$C$99,MATCH(B45,SoA!$A$7:$A$99,0))</f>
        <v>Monitoring activities</v>
      </c>
    </row>
    <row r="46" spans="1:3" ht="15" customHeight="1" x14ac:dyDescent="0.25">
      <c r="A46" s="5" t="s">
        <v>64</v>
      </c>
      <c r="B46" s="5" t="s">
        <v>294</v>
      </c>
      <c r="C46" s="5" t="str">
        <f>INDEX(SoA!$C$7:$C$99,MATCH(B46,SoA!$A$7:$A$99,0))</f>
        <v>Secure authentication</v>
      </c>
    </row>
    <row r="47" spans="1:3" ht="15" customHeight="1" x14ac:dyDescent="0.25">
      <c r="A47" s="5" t="s">
        <v>64</v>
      </c>
      <c r="B47" s="5" t="s">
        <v>301</v>
      </c>
      <c r="C47" s="5" t="str">
        <f>INDEX(SoA!$C$7:$C$99,MATCH(B47,SoA!$A$7:$A$99,0))</f>
        <v>Authentication information</v>
      </c>
    </row>
    <row r="48" spans="1:3" ht="15" customHeight="1" x14ac:dyDescent="0.25">
      <c r="A48" s="5" t="s">
        <v>64</v>
      </c>
      <c r="B48" s="5" t="s">
        <v>298</v>
      </c>
      <c r="C48" s="5" t="str">
        <f>INDEX(SoA!$C$7:$C$99,MATCH(B48,SoA!$A$7:$A$99,0))</f>
        <v>Monitoring activities</v>
      </c>
    </row>
    <row r="49" spans="1:3" ht="15" customHeight="1" x14ac:dyDescent="0.25">
      <c r="A49" s="5" t="s">
        <v>68</v>
      </c>
      <c r="B49" s="5" t="s">
        <v>295</v>
      </c>
      <c r="C49" s="5" t="str">
        <f>INDEX(SoA!$C$7:$C$99,MATCH(B49,SoA!$A$7:$A$99,0))</f>
        <v>Logging</v>
      </c>
    </row>
    <row r="50" spans="1:3" ht="15" customHeight="1" x14ac:dyDescent="0.25">
      <c r="A50" s="5" t="s">
        <v>68</v>
      </c>
      <c r="B50" s="5" t="s">
        <v>298</v>
      </c>
      <c r="C50" s="5" t="str">
        <f>INDEX(SoA!$C$7:$C$99,MATCH(B50,SoA!$A$7:$A$99,0))</f>
        <v>Monitoring activities</v>
      </c>
    </row>
    <row r="51" spans="1:3" ht="15" customHeight="1" x14ac:dyDescent="0.25">
      <c r="A51" s="5" t="s">
        <v>76</v>
      </c>
      <c r="B51" s="5" t="s">
        <v>308</v>
      </c>
      <c r="C51" s="5" t="str">
        <f>INDEX(SoA!$C$7:$C$99,MATCH(B51,SoA!$A$7:$A$99,0))</f>
        <v>Information backup</v>
      </c>
    </row>
    <row r="52" spans="1:3" ht="15" customHeight="1" x14ac:dyDescent="0.25">
      <c r="A52" s="5" t="s">
        <v>76</v>
      </c>
      <c r="B52" s="5" t="s">
        <v>309</v>
      </c>
      <c r="C52" s="5" t="str">
        <f>INDEX(SoA!$C$7:$C$99,MATCH(B52,SoA!$A$7:$A$99,0))</f>
        <v>Protection against malware</v>
      </c>
    </row>
    <row r="53" spans="1:3" ht="15" customHeight="1" x14ac:dyDescent="0.25">
      <c r="A53" s="5" t="s">
        <v>76</v>
      </c>
      <c r="B53" s="5" t="s">
        <v>310</v>
      </c>
      <c r="C53" s="5" t="str">
        <f>INDEX(SoA!$C$7:$C$99,MATCH(B53,SoA!$A$7:$A$99,0))</f>
        <v>ICT readiness for business continuity</v>
      </c>
    </row>
    <row r="54" spans="1:3" ht="15" customHeight="1" x14ac:dyDescent="0.25">
      <c r="A54" s="5" t="s">
        <v>76</v>
      </c>
      <c r="B54" s="5" t="s">
        <v>311</v>
      </c>
      <c r="C54" s="5" t="str">
        <f>INDEX(SoA!$C$7:$C$99,MATCH(B54,SoA!$A$7:$A$99,0))</f>
        <v>Redundancy of information processing facilities</v>
      </c>
    </row>
    <row r="55" spans="1:3" ht="15" customHeight="1" x14ac:dyDescent="0.25">
      <c r="A55" s="5" t="s">
        <v>76</v>
      </c>
      <c r="B55" s="5" t="s">
        <v>312</v>
      </c>
      <c r="C55" s="5" t="str">
        <f>INDEX(SoA!$C$7:$C$99,MATCH(B55,SoA!$A$7:$A$99,0))</f>
        <v>Information security during disruption</v>
      </c>
    </row>
    <row r="56" spans="1:3" ht="15" customHeight="1" x14ac:dyDescent="0.25">
      <c r="A56" s="5" t="s">
        <v>88</v>
      </c>
      <c r="B56" s="5" t="s">
        <v>313</v>
      </c>
      <c r="C56" s="5" t="str">
        <f>INDEX(SoA!$C$7:$C$99,MATCH(B56,SoA!$A$7:$A$99,0))</f>
        <v>Information security awareness, education and training</v>
      </c>
    </row>
    <row r="57" spans="1:3" ht="15" customHeight="1" x14ac:dyDescent="0.25">
      <c r="A57" s="5" t="s">
        <v>88</v>
      </c>
      <c r="B57" s="5" t="s">
        <v>314</v>
      </c>
      <c r="C57" s="5" t="str">
        <f>INDEX(SoA!$C$7:$C$99,MATCH(B57,SoA!$A$7:$A$99,0))</f>
        <v>Web filtering</v>
      </c>
    </row>
    <row r="58" spans="1:3" ht="15" customHeight="1" x14ac:dyDescent="0.25">
      <c r="A58" s="5" t="s">
        <v>88</v>
      </c>
      <c r="B58" s="5" t="s">
        <v>309</v>
      </c>
      <c r="C58" s="5" t="str">
        <f>INDEX(SoA!$C$7:$C$99,MATCH(B58,SoA!$A$7:$A$99,0))</f>
        <v>Protection against malware</v>
      </c>
    </row>
    <row r="59" spans="1:3" ht="15" customHeight="1" x14ac:dyDescent="0.25">
      <c r="A59" s="5" t="s">
        <v>88</v>
      </c>
      <c r="B59" s="5" t="s">
        <v>294</v>
      </c>
      <c r="C59" s="5" t="str">
        <f>INDEX(SoA!$C$7:$C$99,MATCH(B59,SoA!$A$7:$A$99,0))</f>
        <v>Secure authentication</v>
      </c>
    </row>
    <row r="60" spans="1:3" ht="15" customHeight="1" x14ac:dyDescent="0.25">
      <c r="A60" s="5" t="s">
        <v>88</v>
      </c>
      <c r="B60" s="5" t="s">
        <v>315</v>
      </c>
      <c r="C60" s="5" t="str">
        <f>INDEX(SoA!$C$7:$C$99,MATCH(B60,SoA!$A$7:$A$99,0))</f>
        <v>Information security event reporting</v>
      </c>
    </row>
    <row r="61" spans="1:3" ht="15" customHeight="1" x14ac:dyDescent="0.25">
      <c r="A61" s="5" t="s">
        <v>96</v>
      </c>
      <c r="B61" s="5" t="s">
        <v>316</v>
      </c>
      <c r="C61" s="5" t="str">
        <f>INDEX(SoA!$C$7:$C$99,MATCH(B61,SoA!$A$7:$A$99,0))</f>
        <v>Information security in supplier relationships</v>
      </c>
    </row>
    <row r="62" spans="1:3" ht="15" customHeight="1" x14ac:dyDescent="0.25">
      <c r="A62" s="5" t="s">
        <v>96</v>
      </c>
      <c r="B62" s="5" t="s">
        <v>317</v>
      </c>
      <c r="C62" s="5" t="str">
        <f>INDEX(SoA!$C$7:$C$99,MATCH(B62,SoA!$A$7:$A$99,0))</f>
        <v>Addressing information security within supplier agreements</v>
      </c>
    </row>
    <row r="63" spans="1:3" ht="15" customHeight="1" x14ac:dyDescent="0.25">
      <c r="A63" s="5" t="s">
        <v>96</v>
      </c>
      <c r="B63" s="5" t="s">
        <v>318</v>
      </c>
      <c r="C63" s="5" t="str">
        <f>INDEX(SoA!$C$7:$C$99,MATCH(B63,SoA!$A$7:$A$99,0))</f>
        <v>Monitoring, review and change management of supplier services</v>
      </c>
    </row>
    <row r="64" spans="1:3" ht="15" customHeight="1" x14ac:dyDescent="0.25">
      <c r="A64" s="5" t="s">
        <v>96</v>
      </c>
      <c r="B64" s="5" t="s">
        <v>319</v>
      </c>
      <c r="C64" s="5" t="str">
        <f>INDEX(SoA!$C$7:$C$99,MATCH(B64,SoA!$A$7:$A$99,0))</f>
        <v>Privacy and protection of PII</v>
      </c>
    </row>
  </sheetData>
  <mergeCells count="1">
    <mergeCell ref="A2:C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09"/>
  <sheetViews>
    <sheetView tabSelected="1" zoomScaleNormal="100" workbookViewId="0">
      <pane xSplit="3" ySplit="6" topLeftCell="D7" activePane="bottomRight" state="frozen"/>
      <selection pane="topRight" activeCell="D1" sqref="D1"/>
      <selection pane="bottomLeft" activeCell="A7" sqref="A7"/>
      <selection pane="bottomRight"/>
    </sheetView>
  </sheetViews>
  <sheetFormatPr defaultColWidth="8.7109375" defaultRowHeight="15" x14ac:dyDescent="0.25"/>
  <cols>
    <col min="1" max="1" width="7" customWidth="1"/>
    <col min="2" max="2" width="12" customWidth="1"/>
    <col min="3" max="3" width="40" customWidth="1"/>
    <col min="4" max="4" width="9" customWidth="1"/>
    <col min="5" max="5" width="20" customWidth="1"/>
    <col min="6" max="6" width="22" customWidth="1"/>
    <col min="7" max="7" width="9" customWidth="1"/>
    <col min="8" max="8" width="62" customWidth="1"/>
    <col min="9" max="9" width="17" customWidth="1"/>
    <col min="10" max="10" width="12" customWidth="1"/>
    <col min="11" max="11" width="48" customWidth="1"/>
    <col min="12" max="12" width="13" customWidth="1"/>
    <col min="13" max="13" width="32" customWidth="1"/>
  </cols>
  <sheetData>
    <row r="1" spans="1:13" ht="15.75" customHeight="1" x14ac:dyDescent="0.25">
      <c r="A1" s="2" t="s">
        <v>320</v>
      </c>
    </row>
    <row r="2" spans="1:13" ht="15" customHeight="1" x14ac:dyDescent="0.25">
      <c r="A2" s="3" t="s">
        <v>321</v>
      </c>
    </row>
    <row r="3" spans="1:13" ht="15" customHeight="1" x14ac:dyDescent="0.25">
      <c r="A3" s="16" t="s">
        <v>322</v>
      </c>
      <c r="C3" s="27">
        <f>Penanganan!$D$6</f>
        <v>46307</v>
      </c>
    </row>
    <row r="4" spans="1:13" ht="15" customHeight="1" x14ac:dyDescent="0.25">
      <c r="A4" s="3" t="s">
        <v>323</v>
      </c>
    </row>
    <row r="5" spans="1:13" ht="15" customHeight="1" x14ac:dyDescent="0.25">
      <c r="A5" s="16" t="s">
        <v>324</v>
      </c>
      <c r="C5" s="28">
        <v>46309</v>
      </c>
      <c r="E5" s="3" t="s">
        <v>325</v>
      </c>
    </row>
    <row r="6" spans="1:13" ht="23.25" customHeight="1" x14ac:dyDescent="0.25">
      <c r="A6" s="26" t="s">
        <v>326</v>
      </c>
      <c r="B6" s="26" t="s">
        <v>327</v>
      </c>
      <c r="C6" s="26" t="s">
        <v>284</v>
      </c>
      <c r="D6" s="26" t="s">
        <v>328</v>
      </c>
      <c r="E6" s="26" t="s">
        <v>329</v>
      </c>
      <c r="F6" s="26" t="s">
        <v>208</v>
      </c>
      <c r="G6" s="26" t="s">
        <v>330</v>
      </c>
      <c r="H6" s="26" t="s">
        <v>331</v>
      </c>
      <c r="I6" s="26" t="s">
        <v>332</v>
      </c>
      <c r="J6" s="26" t="s">
        <v>333</v>
      </c>
      <c r="K6" s="26" t="s">
        <v>334</v>
      </c>
      <c r="L6" s="26" t="s">
        <v>335</v>
      </c>
      <c r="M6" s="26" t="s">
        <v>336</v>
      </c>
    </row>
    <row r="7" spans="1:13" ht="23.25" customHeight="1" x14ac:dyDescent="0.25">
      <c r="A7" s="5" t="s">
        <v>337</v>
      </c>
      <c r="B7" s="5" t="s">
        <v>338</v>
      </c>
      <c r="C7" s="5" t="s">
        <v>339</v>
      </c>
      <c r="D7" s="29" t="s">
        <v>340</v>
      </c>
      <c r="E7" s="5" t="s">
        <v>341</v>
      </c>
      <c r="F7" s="5" t="s">
        <v>167</v>
      </c>
      <c r="G7" s="5">
        <f>COUNTIF(Pemetaan!$B$5:$B$64,A7)</f>
        <v>0</v>
      </c>
      <c r="H7" s="5" t="s">
        <v>342</v>
      </c>
      <c r="I7" s="30" t="s">
        <v>343</v>
      </c>
      <c r="J7" s="5" t="s">
        <v>167</v>
      </c>
      <c r="K7" s="5" t="s">
        <v>344</v>
      </c>
      <c r="L7" s="30" t="s">
        <v>343</v>
      </c>
      <c r="M7" s="5" t="str">
        <f t="shared" ref="M7:M38" si="0">IF(AND(D7="Tidak",G7&gt;0),"Konflik: ada risiko terkait",IF(AND(D7="Ya",E7="Risiko",G7=0),"Tidak ada risiko terkait",IF(AND(D7="Ya",I7="-"),"Status kosong",IF(AND(I7="Sudah diterapkan",L7&lt;&gt;"Ada"),"Status Sudah tanpa bukti lengkap",IF(AND(I7="Sebagian",L7="Belum ada"),"Status Sebagian tanpa bukti",IF(AND(I7="Terencana",L7="Ada"),"Terencana tapi bukti sudah ada, cek statusnya",IF(AND(I7="Terencana",ISNUMBER(J7),J7&lt;$C$5),"Target terlewat","OK")))))))</f>
        <v>OK</v>
      </c>
    </row>
    <row r="8" spans="1:13" ht="23.25" customHeight="1" x14ac:dyDescent="0.25">
      <c r="A8" s="5" t="s">
        <v>345</v>
      </c>
      <c r="B8" s="5" t="s">
        <v>338</v>
      </c>
      <c r="C8" s="5" t="s">
        <v>346</v>
      </c>
      <c r="D8" s="29" t="s">
        <v>340</v>
      </c>
      <c r="E8" s="5" t="s">
        <v>341</v>
      </c>
      <c r="F8" s="5" t="s">
        <v>167</v>
      </c>
      <c r="G8" s="5">
        <f>COUNTIF(Pemetaan!$B$5:$B$64,A8)</f>
        <v>0</v>
      </c>
      <c r="H8" s="5" t="s">
        <v>347</v>
      </c>
      <c r="I8" s="30" t="s">
        <v>343</v>
      </c>
      <c r="J8" s="5" t="s">
        <v>167</v>
      </c>
      <c r="K8" s="5" t="s">
        <v>348</v>
      </c>
      <c r="L8" s="30" t="s">
        <v>343</v>
      </c>
      <c r="M8" s="5" t="str">
        <f t="shared" si="0"/>
        <v>OK</v>
      </c>
    </row>
    <row r="9" spans="1:13" ht="23.25" customHeight="1" x14ac:dyDescent="0.25">
      <c r="A9" s="5" t="s">
        <v>300</v>
      </c>
      <c r="B9" s="5" t="s">
        <v>338</v>
      </c>
      <c r="C9" s="5" t="s">
        <v>349</v>
      </c>
      <c r="D9" s="29" t="s">
        <v>340</v>
      </c>
      <c r="E9" s="5" t="s">
        <v>283</v>
      </c>
      <c r="F9" s="5" t="s">
        <v>31</v>
      </c>
      <c r="G9" s="5">
        <f>COUNTIF(Pemetaan!$B$5:$B$64,A9)</f>
        <v>1</v>
      </c>
      <c r="H9" s="5" t="s">
        <v>350</v>
      </c>
      <c r="I9" s="30" t="s">
        <v>351</v>
      </c>
      <c r="J9" s="31">
        <f>IF(E9="Risiko",$C$3+Evaluasi!$D$6,EDATE($C$3,6))</f>
        <v>46397</v>
      </c>
      <c r="K9" s="5" t="s">
        <v>352</v>
      </c>
      <c r="L9" s="30" t="s">
        <v>353</v>
      </c>
      <c r="M9" s="5" t="str">
        <f t="shared" si="0"/>
        <v>OK</v>
      </c>
    </row>
    <row r="10" spans="1:13" ht="23.25" customHeight="1" x14ac:dyDescent="0.25">
      <c r="A10" s="5" t="s">
        <v>354</v>
      </c>
      <c r="B10" s="5" t="s">
        <v>338</v>
      </c>
      <c r="C10" s="5" t="s">
        <v>355</v>
      </c>
      <c r="D10" s="29" t="s">
        <v>340</v>
      </c>
      <c r="E10" s="5" t="s">
        <v>341</v>
      </c>
      <c r="F10" s="5" t="s">
        <v>167</v>
      </c>
      <c r="G10" s="5">
        <f>COUNTIF(Pemetaan!$B$5:$B$64,A10)</f>
        <v>0</v>
      </c>
      <c r="H10" s="5" t="s">
        <v>356</v>
      </c>
      <c r="I10" s="30" t="s">
        <v>343</v>
      </c>
      <c r="J10" s="5" t="s">
        <v>167</v>
      </c>
      <c r="K10" s="5" t="s">
        <v>357</v>
      </c>
      <c r="L10" s="30" t="s">
        <v>343</v>
      </c>
      <c r="M10" s="5" t="str">
        <f t="shared" si="0"/>
        <v>OK</v>
      </c>
    </row>
    <row r="11" spans="1:13" ht="23.25" customHeight="1" x14ac:dyDescent="0.25">
      <c r="A11" s="5" t="s">
        <v>358</v>
      </c>
      <c r="B11" s="5" t="s">
        <v>338</v>
      </c>
      <c r="C11" s="5" t="s">
        <v>359</v>
      </c>
      <c r="D11" s="29" t="s">
        <v>340</v>
      </c>
      <c r="E11" s="5" t="s">
        <v>360</v>
      </c>
      <c r="F11" s="5" t="s">
        <v>167</v>
      </c>
      <c r="G11" s="5">
        <f>COUNTIF(Pemetaan!$B$5:$B$64,A11)</f>
        <v>0</v>
      </c>
      <c r="H11" s="5" t="s">
        <v>361</v>
      </c>
      <c r="I11" s="30" t="s">
        <v>343</v>
      </c>
      <c r="J11" s="5" t="s">
        <v>167</v>
      </c>
      <c r="K11" s="5" t="s">
        <v>362</v>
      </c>
      <c r="L11" s="30" t="s">
        <v>343</v>
      </c>
      <c r="M11" s="5" t="str">
        <f t="shared" si="0"/>
        <v>OK</v>
      </c>
    </row>
    <row r="12" spans="1:13" ht="34.5" customHeight="1" x14ac:dyDescent="0.25">
      <c r="A12" s="5" t="s">
        <v>363</v>
      </c>
      <c r="B12" s="5" t="s">
        <v>338</v>
      </c>
      <c r="C12" s="5" t="s">
        <v>364</v>
      </c>
      <c r="D12" s="29" t="s">
        <v>365</v>
      </c>
      <c r="E12" s="5" t="s">
        <v>366</v>
      </c>
      <c r="F12" s="5" t="s">
        <v>167</v>
      </c>
      <c r="G12" s="5">
        <f>COUNTIF(Pemetaan!$B$5:$B$64,A12)</f>
        <v>0</v>
      </c>
      <c r="H12" s="5" t="s">
        <v>367</v>
      </c>
      <c r="I12" s="30" t="s">
        <v>167</v>
      </c>
      <c r="J12" s="5" t="s">
        <v>167</v>
      </c>
      <c r="K12" s="5" t="s">
        <v>368</v>
      </c>
      <c r="L12" s="30" t="s">
        <v>167</v>
      </c>
      <c r="M12" s="5" t="str">
        <f t="shared" si="0"/>
        <v>OK</v>
      </c>
    </row>
    <row r="13" spans="1:13" ht="23.25" customHeight="1" x14ac:dyDescent="0.25">
      <c r="A13" s="5" t="s">
        <v>369</v>
      </c>
      <c r="B13" s="5" t="s">
        <v>338</v>
      </c>
      <c r="C13" s="5" t="s">
        <v>370</v>
      </c>
      <c r="D13" s="29" t="s">
        <v>365</v>
      </c>
      <c r="E13" s="5" t="s">
        <v>366</v>
      </c>
      <c r="F13" s="5" t="s">
        <v>167</v>
      </c>
      <c r="G13" s="5">
        <f>COUNTIF(Pemetaan!$B$5:$B$64,A13)</f>
        <v>0</v>
      </c>
      <c r="H13" s="5" t="s">
        <v>371</v>
      </c>
      <c r="I13" s="30" t="s">
        <v>167</v>
      </c>
      <c r="J13" s="5" t="s">
        <v>167</v>
      </c>
      <c r="K13" s="5" t="s">
        <v>372</v>
      </c>
      <c r="L13" s="30" t="s">
        <v>167</v>
      </c>
      <c r="M13" s="5" t="str">
        <f t="shared" si="0"/>
        <v>OK</v>
      </c>
    </row>
    <row r="14" spans="1:13" ht="23.25" customHeight="1" x14ac:dyDescent="0.25">
      <c r="A14" s="5" t="s">
        <v>373</v>
      </c>
      <c r="B14" s="5" t="s">
        <v>338</v>
      </c>
      <c r="C14" s="5" t="s">
        <v>374</v>
      </c>
      <c r="D14" s="29" t="s">
        <v>340</v>
      </c>
      <c r="E14" s="5" t="s">
        <v>375</v>
      </c>
      <c r="F14" s="5" t="s">
        <v>167</v>
      </c>
      <c r="G14" s="5">
        <f>COUNTIF(Pemetaan!$B$5:$B$64,A14)</f>
        <v>0</v>
      </c>
      <c r="H14" s="5" t="s">
        <v>376</v>
      </c>
      <c r="I14" s="30" t="s">
        <v>343</v>
      </c>
      <c r="J14" s="5" t="s">
        <v>167</v>
      </c>
      <c r="K14" s="5" t="s">
        <v>377</v>
      </c>
      <c r="L14" s="30" t="s">
        <v>343</v>
      </c>
      <c r="M14" s="5" t="str">
        <f t="shared" si="0"/>
        <v>OK</v>
      </c>
    </row>
    <row r="15" spans="1:13" ht="23.25" customHeight="1" x14ac:dyDescent="0.25">
      <c r="A15" s="5" t="s">
        <v>378</v>
      </c>
      <c r="B15" s="5" t="s">
        <v>338</v>
      </c>
      <c r="C15" s="5" t="s">
        <v>379</v>
      </c>
      <c r="D15" s="29" t="s">
        <v>340</v>
      </c>
      <c r="E15" s="5" t="s">
        <v>341</v>
      </c>
      <c r="F15" s="5" t="s">
        <v>167</v>
      </c>
      <c r="G15" s="5">
        <f>COUNTIF(Pemetaan!$B$5:$B$64,A15)</f>
        <v>0</v>
      </c>
      <c r="H15" s="5" t="s">
        <v>380</v>
      </c>
      <c r="I15" s="30" t="s">
        <v>381</v>
      </c>
      <c r="J15" s="5" t="s">
        <v>167</v>
      </c>
      <c r="K15" s="5" t="s">
        <v>382</v>
      </c>
      <c r="L15" s="30" t="s">
        <v>383</v>
      </c>
      <c r="M15" s="5" t="str">
        <f t="shared" si="0"/>
        <v>OK</v>
      </c>
    </row>
    <row r="16" spans="1:13" ht="23.25" customHeight="1" x14ac:dyDescent="0.25">
      <c r="A16" s="5" t="s">
        <v>384</v>
      </c>
      <c r="B16" s="5" t="s">
        <v>338</v>
      </c>
      <c r="C16" s="5" t="s">
        <v>385</v>
      </c>
      <c r="D16" s="29" t="s">
        <v>340</v>
      </c>
      <c r="E16" s="5" t="s">
        <v>375</v>
      </c>
      <c r="F16" s="5" t="s">
        <v>167</v>
      </c>
      <c r="G16" s="5">
        <f>COUNTIF(Pemetaan!$B$5:$B$64,A16)</f>
        <v>0</v>
      </c>
      <c r="H16" s="5" t="s">
        <v>386</v>
      </c>
      <c r="I16" s="30" t="s">
        <v>343</v>
      </c>
      <c r="J16" s="5" t="s">
        <v>167</v>
      </c>
      <c r="K16" s="5" t="s">
        <v>387</v>
      </c>
      <c r="L16" s="30" t="s">
        <v>343</v>
      </c>
      <c r="M16" s="5" t="str">
        <f t="shared" si="0"/>
        <v>OK</v>
      </c>
    </row>
    <row r="17" spans="1:13" ht="15" customHeight="1" x14ac:dyDescent="0.25">
      <c r="A17" s="5" t="s">
        <v>388</v>
      </c>
      <c r="B17" s="5" t="s">
        <v>338</v>
      </c>
      <c r="C17" s="5" t="s">
        <v>389</v>
      </c>
      <c r="D17" s="29" t="s">
        <v>340</v>
      </c>
      <c r="E17" s="5" t="s">
        <v>375</v>
      </c>
      <c r="F17" s="5" t="s">
        <v>167</v>
      </c>
      <c r="G17" s="5">
        <f>COUNTIF(Pemetaan!$B$5:$B$64,A17)</f>
        <v>0</v>
      </c>
      <c r="H17" s="5" t="s">
        <v>390</v>
      </c>
      <c r="I17" s="30" t="s">
        <v>343</v>
      </c>
      <c r="J17" s="5" t="s">
        <v>167</v>
      </c>
      <c r="K17" s="5" t="s">
        <v>391</v>
      </c>
      <c r="L17" s="30" t="s">
        <v>343</v>
      </c>
      <c r="M17" s="5" t="str">
        <f t="shared" si="0"/>
        <v>OK</v>
      </c>
    </row>
    <row r="18" spans="1:13" ht="23.25" customHeight="1" x14ac:dyDescent="0.25">
      <c r="A18" s="5" t="s">
        <v>392</v>
      </c>
      <c r="B18" s="5" t="s">
        <v>338</v>
      </c>
      <c r="C18" s="5" t="s">
        <v>393</v>
      </c>
      <c r="D18" s="29" t="s">
        <v>340</v>
      </c>
      <c r="E18" s="5" t="s">
        <v>360</v>
      </c>
      <c r="F18" s="5" t="s">
        <v>167</v>
      </c>
      <c r="G18" s="5">
        <f>COUNTIF(Pemetaan!$B$5:$B$64,A18)</f>
        <v>0</v>
      </c>
      <c r="H18" s="5" t="s">
        <v>394</v>
      </c>
      <c r="I18" s="30" t="s">
        <v>343</v>
      </c>
      <c r="J18" s="5" t="s">
        <v>167</v>
      </c>
      <c r="K18" s="5" t="s">
        <v>395</v>
      </c>
      <c r="L18" s="30" t="s">
        <v>343</v>
      </c>
      <c r="M18" s="5" t="str">
        <f t="shared" si="0"/>
        <v>OK</v>
      </c>
    </row>
    <row r="19" spans="1:13" ht="23.25" customHeight="1" x14ac:dyDescent="0.25">
      <c r="A19" s="5" t="s">
        <v>396</v>
      </c>
      <c r="B19" s="5" t="s">
        <v>338</v>
      </c>
      <c r="C19" s="5" t="s">
        <v>397</v>
      </c>
      <c r="D19" s="29" t="s">
        <v>365</v>
      </c>
      <c r="E19" s="5" t="s">
        <v>366</v>
      </c>
      <c r="F19" s="5" t="s">
        <v>167</v>
      </c>
      <c r="G19" s="5">
        <f>COUNTIF(Pemetaan!$B$5:$B$64,A19)</f>
        <v>0</v>
      </c>
      <c r="H19" s="5" t="s">
        <v>398</v>
      </c>
      <c r="I19" s="30" t="s">
        <v>167</v>
      </c>
      <c r="J19" s="5" t="s">
        <v>167</v>
      </c>
      <c r="K19" s="5" t="s">
        <v>399</v>
      </c>
      <c r="L19" s="30" t="s">
        <v>167</v>
      </c>
      <c r="M19" s="5" t="str">
        <f t="shared" si="0"/>
        <v>OK</v>
      </c>
    </row>
    <row r="20" spans="1:13" ht="23.25" customHeight="1" x14ac:dyDescent="0.25">
      <c r="A20" s="5" t="s">
        <v>400</v>
      </c>
      <c r="B20" s="5" t="s">
        <v>338</v>
      </c>
      <c r="C20" s="5" t="s">
        <v>401</v>
      </c>
      <c r="D20" s="29" t="s">
        <v>340</v>
      </c>
      <c r="E20" s="5" t="s">
        <v>360</v>
      </c>
      <c r="F20" s="5" t="s">
        <v>167</v>
      </c>
      <c r="G20" s="5">
        <f>COUNTIF(Pemetaan!$B$5:$B$64,A20)</f>
        <v>0</v>
      </c>
      <c r="H20" s="5" t="s">
        <v>402</v>
      </c>
      <c r="I20" s="30" t="s">
        <v>343</v>
      </c>
      <c r="J20" s="5" t="s">
        <v>167</v>
      </c>
      <c r="K20" s="5" t="s">
        <v>403</v>
      </c>
      <c r="L20" s="30" t="s">
        <v>343</v>
      </c>
      <c r="M20" s="5" t="str">
        <f t="shared" si="0"/>
        <v>OK</v>
      </c>
    </row>
    <row r="21" spans="1:13" ht="15" customHeight="1" x14ac:dyDescent="0.25">
      <c r="A21" s="5" t="s">
        <v>290</v>
      </c>
      <c r="B21" s="5" t="s">
        <v>338</v>
      </c>
      <c r="C21" s="5" t="s">
        <v>404</v>
      </c>
      <c r="D21" s="29" t="s">
        <v>340</v>
      </c>
      <c r="E21" s="5" t="s">
        <v>283</v>
      </c>
      <c r="F21" s="5" t="s">
        <v>22</v>
      </c>
      <c r="G21" s="5">
        <f>COUNTIF(Pemetaan!$B$5:$B$64,A21)</f>
        <v>1</v>
      </c>
      <c r="H21" s="5" t="s">
        <v>405</v>
      </c>
      <c r="I21" s="30" t="s">
        <v>351</v>
      </c>
      <c r="J21" s="31">
        <f>IF(E21="Risiko",$C$3+Evaluasi!$D$6,EDATE($C$3,6))</f>
        <v>46397</v>
      </c>
      <c r="K21" s="5" t="s">
        <v>406</v>
      </c>
      <c r="L21" s="30" t="s">
        <v>353</v>
      </c>
      <c r="M21" s="5" t="str">
        <f t="shared" si="0"/>
        <v>OK</v>
      </c>
    </row>
    <row r="22" spans="1:13" ht="23.25" customHeight="1" x14ac:dyDescent="0.25">
      <c r="A22" s="5" t="s">
        <v>407</v>
      </c>
      <c r="B22" s="5" t="s">
        <v>338</v>
      </c>
      <c r="C22" s="5" t="s">
        <v>408</v>
      </c>
      <c r="D22" s="29" t="s">
        <v>340</v>
      </c>
      <c r="E22" s="5" t="s">
        <v>375</v>
      </c>
      <c r="F22" s="5" t="s">
        <v>167</v>
      </c>
      <c r="G22" s="5">
        <f>COUNTIF(Pemetaan!$B$5:$B$64,A22)</f>
        <v>0</v>
      </c>
      <c r="H22" s="5" t="s">
        <v>409</v>
      </c>
      <c r="I22" s="30" t="s">
        <v>343</v>
      </c>
      <c r="J22" s="5" t="s">
        <v>167</v>
      </c>
      <c r="K22" s="5" t="s">
        <v>410</v>
      </c>
      <c r="L22" s="30" t="s">
        <v>343</v>
      </c>
      <c r="M22" s="5" t="str">
        <f t="shared" si="0"/>
        <v>OK</v>
      </c>
    </row>
    <row r="23" spans="1:13" ht="23.25" customHeight="1" x14ac:dyDescent="0.25">
      <c r="A23" s="5" t="s">
        <v>301</v>
      </c>
      <c r="B23" s="5" t="s">
        <v>338</v>
      </c>
      <c r="C23" s="5" t="s">
        <v>411</v>
      </c>
      <c r="D23" s="29" t="s">
        <v>340</v>
      </c>
      <c r="E23" s="5" t="s">
        <v>283</v>
      </c>
      <c r="F23" s="5" t="s">
        <v>412</v>
      </c>
      <c r="G23" s="5">
        <f>COUNTIF(Pemetaan!$B$5:$B$64,A23)</f>
        <v>2</v>
      </c>
      <c r="H23" s="5" t="s">
        <v>413</v>
      </c>
      <c r="I23" s="30" t="s">
        <v>351</v>
      </c>
      <c r="J23" s="31">
        <f>IF(E23="Risiko",$C$3+Evaluasi!$D$6,EDATE($C$3,6))</f>
        <v>46397</v>
      </c>
      <c r="K23" s="5" t="s">
        <v>414</v>
      </c>
      <c r="L23" s="30" t="s">
        <v>353</v>
      </c>
      <c r="M23" s="5" t="str">
        <f t="shared" si="0"/>
        <v>OK</v>
      </c>
    </row>
    <row r="24" spans="1:13" ht="23.25" customHeight="1" x14ac:dyDescent="0.25">
      <c r="A24" s="5" t="s">
        <v>291</v>
      </c>
      <c r="B24" s="5" t="s">
        <v>338</v>
      </c>
      <c r="C24" s="5" t="s">
        <v>415</v>
      </c>
      <c r="D24" s="29" t="s">
        <v>340</v>
      </c>
      <c r="E24" s="5" t="s">
        <v>283</v>
      </c>
      <c r="F24" s="5" t="s">
        <v>416</v>
      </c>
      <c r="G24" s="5">
        <f>COUNTIF(Pemetaan!$B$5:$B$64,A24)</f>
        <v>3</v>
      </c>
      <c r="H24" s="5" t="s">
        <v>417</v>
      </c>
      <c r="I24" s="30" t="s">
        <v>351</v>
      </c>
      <c r="J24" s="31">
        <f>IF(E24="Risiko",$C$3+Evaluasi!$D$6,EDATE($C$3,6))</f>
        <v>46397</v>
      </c>
      <c r="K24" s="5" t="s">
        <v>418</v>
      </c>
      <c r="L24" s="30" t="s">
        <v>353</v>
      </c>
      <c r="M24" s="5" t="str">
        <f t="shared" si="0"/>
        <v>OK</v>
      </c>
    </row>
    <row r="25" spans="1:13" ht="15" customHeight="1" x14ac:dyDescent="0.25">
      <c r="A25" s="5" t="s">
        <v>316</v>
      </c>
      <c r="B25" s="5" t="s">
        <v>338</v>
      </c>
      <c r="C25" s="5" t="s">
        <v>419</v>
      </c>
      <c r="D25" s="29" t="s">
        <v>340</v>
      </c>
      <c r="E25" s="5" t="s">
        <v>283</v>
      </c>
      <c r="F25" s="5" t="s">
        <v>96</v>
      </c>
      <c r="G25" s="5">
        <f>COUNTIF(Pemetaan!$B$5:$B$64,A25)</f>
        <v>1</v>
      </c>
      <c r="H25" s="5" t="s">
        <v>420</v>
      </c>
      <c r="I25" s="30" t="s">
        <v>351</v>
      </c>
      <c r="J25" s="31">
        <f>IF(E25="Risiko",$C$3+Evaluasi!$D$6,EDATE($C$3,6))</f>
        <v>46397</v>
      </c>
      <c r="K25" s="5" t="s">
        <v>421</v>
      </c>
      <c r="L25" s="30" t="s">
        <v>353</v>
      </c>
      <c r="M25" s="5" t="str">
        <f t="shared" si="0"/>
        <v>OK</v>
      </c>
    </row>
    <row r="26" spans="1:13" ht="23.25" customHeight="1" x14ac:dyDescent="0.25">
      <c r="A26" s="5" t="s">
        <v>317</v>
      </c>
      <c r="B26" s="5" t="s">
        <v>338</v>
      </c>
      <c r="C26" s="5" t="s">
        <v>422</v>
      </c>
      <c r="D26" s="29" t="s">
        <v>340</v>
      </c>
      <c r="E26" s="5" t="s">
        <v>283</v>
      </c>
      <c r="F26" s="5" t="s">
        <v>96</v>
      </c>
      <c r="G26" s="5">
        <f>COUNTIF(Pemetaan!$B$5:$B$64,A26)</f>
        <v>1</v>
      </c>
      <c r="H26" s="5" t="s">
        <v>423</v>
      </c>
      <c r="I26" s="30" t="s">
        <v>351</v>
      </c>
      <c r="J26" s="31">
        <f>IF(E26="Risiko",$C$3+Evaluasi!$D$6,EDATE($C$3,6))</f>
        <v>46397</v>
      </c>
      <c r="K26" s="5" t="s">
        <v>424</v>
      </c>
      <c r="L26" s="30" t="s">
        <v>353</v>
      </c>
      <c r="M26" s="5" t="str">
        <f t="shared" si="0"/>
        <v>OK</v>
      </c>
    </row>
    <row r="27" spans="1:13" ht="23.25" customHeight="1" x14ac:dyDescent="0.25">
      <c r="A27" s="5" t="s">
        <v>425</v>
      </c>
      <c r="B27" s="5" t="s">
        <v>338</v>
      </c>
      <c r="C27" s="5" t="s">
        <v>426</v>
      </c>
      <c r="D27" s="29" t="s">
        <v>340</v>
      </c>
      <c r="E27" s="5" t="s">
        <v>375</v>
      </c>
      <c r="F27" s="5" t="s">
        <v>167</v>
      </c>
      <c r="G27" s="5">
        <f>COUNTIF(Pemetaan!$B$5:$B$64,A27)</f>
        <v>0</v>
      </c>
      <c r="H27" s="5" t="s">
        <v>427</v>
      </c>
      <c r="I27" s="30" t="s">
        <v>343</v>
      </c>
      <c r="J27" s="5" t="s">
        <v>167</v>
      </c>
      <c r="K27" s="5" t="s">
        <v>428</v>
      </c>
      <c r="L27" s="30" t="s">
        <v>343</v>
      </c>
      <c r="M27" s="5" t="str">
        <f t="shared" si="0"/>
        <v>OK</v>
      </c>
    </row>
    <row r="28" spans="1:13" ht="23.25" customHeight="1" x14ac:dyDescent="0.25">
      <c r="A28" s="5" t="s">
        <v>318</v>
      </c>
      <c r="B28" s="5" t="s">
        <v>338</v>
      </c>
      <c r="C28" s="5" t="s">
        <v>429</v>
      </c>
      <c r="D28" s="29" t="s">
        <v>340</v>
      </c>
      <c r="E28" s="5" t="s">
        <v>283</v>
      </c>
      <c r="F28" s="5" t="s">
        <v>96</v>
      </c>
      <c r="G28" s="5">
        <f>COUNTIF(Pemetaan!$B$5:$B$64,A28)</f>
        <v>1</v>
      </c>
      <c r="H28" s="5" t="s">
        <v>430</v>
      </c>
      <c r="I28" s="30" t="s">
        <v>351</v>
      </c>
      <c r="J28" s="31">
        <f>IF(E28="Risiko",$C$3+Evaluasi!$D$6,EDATE($C$3,6))</f>
        <v>46397</v>
      </c>
      <c r="K28" s="5" t="s">
        <v>431</v>
      </c>
      <c r="L28" s="30" t="s">
        <v>353</v>
      </c>
      <c r="M28" s="5" t="str">
        <f t="shared" si="0"/>
        <v>OK</v>
      </c>
    </row>
    <row r="29" spans="1:13" ht="23.25" customHeight="1" x14ac:dyDescent="0.25">
      <c r="A29" s="5" t="s">
        <v>299</v>
      </c>
      <c r="B29" s="5" t="s">
        <v>338</v>
      </c>
      <c r="C29" s="5" t="s">
        <v>432</v>
      </c>
      <c r="D29" s="29" t="s">
        <v>340</v>
      </c>
      <c r="E29" s="5" t="s">
        <v>283</v>
      </c>
      <c r="F29" s="5" t="s">
        <v>27</v>
      </c>
      <c r="G29" s="5">
        <f>COUNTIF(Pemetaan!$B$5:$B$64,A29)</f>
        <v>1</v>
      </c>
      <c r="H29" s="5" t="s">
        <v>433</v>
      </c>
      <c r="I29" s="30" t="s">
        <v>351</v>
      </c>
      <c r="J29" s="31">
        <f>IF(E29="Risiko",$C$3+Evaluasi!$D$6,EDATE($C$3,6))</f>
        <v>46397</v>
      </c>
      <c r="K29" s="5" t="s">
        <v>434</v>
      </c>
      <c r="L29" s="30" t="s">
        <v>353</v>
      </c>
      <c r="M29" s="5" t="str">
        <f t="shared" si="0"/>
        <v>OK</v>
      </c>
    </row>
    <row r="30" spans="1:13" ht="23.25" customHeight="1" x14ac:dyDescent="0.25">
      <c r="A30" s="5" t="s">
        <v>435</v>
      </c>
      <c r="B30" s="5" t="s">
        <v>338</v>
      </c>
      <c r="C30" s="5" t="s">
        <v>436</v>
      </c>
      <c r="D30" s="29" t="s">
        <v>340</v>
      </c>
      <c r="E30" s="5" t="s">
        <v>360</v>
      </c>
      <c r="F30" s="5" t="s">
        <v>167</v>
      </c>
      <c r="G30" s="5">
        <f>COUNTIF(Pemetaan!$B$5:$B$64,A30)</f>
        <v>0</v>
      </c>
      <c r="H30" s="5" t="s">
        <v>437</v>
      </c>
      <c r="I30" s="30" t="s">
        <v>343</v>
      </c>
      <c r="J30" s="5" t="s">
        <v>167</v>
      </c>
      <c r="K30" s="5" t="s">
        <v>438</v>
      </c>
      <c r="L30" s="30" t="s">
        <v>343</v>
      </c>
      <c r="M30" s="5" t="str">
        <f t="shared" si="0"/>
        <v>OK</v>
      </c>
    </row>
    <row r="31" spans="1:13" ht="23.25" customHeight="1" x14ac:dyDescent="0.25">
      <c r="A31" s="5" t="s">
        <v>439</v>
      </c>
      <c r="B31" s="5" t="s">
        <v>338</v>
      </c>
      <c r="C31" s="5" t="s">
        <v>440</v>
      </c>
      <c r="D31" s="29" t="s">
        <v>340</v>
      </c>
      <c r="E31" s="5" t="s">
        <v>360</v>
      </c>
      <c r="F31" s="5" t="s">
        <v>167</v>
      </c>
      <c r="G31" s="5">
        <f>COUNTIF(Pemetaan!$B$5:$B$64,A31)</f>
        <v>0</v>
      </c>
      <c r="H31" s="5" t="s">
        <v>441</v>
      </c>
      <c r="I31" s="30" t="s">
        <v>343</v>
      </c>
      <c r="J31" s="5" t="s">
        <v>167</v>
      </c>
      <c r="K31" s="5" t="s">
        <v>442</v>
      </c>
      <c r="L31" s="30" t="s">
        <v>343</v>
      </c>
      <c r="M31" s="5" t="str">
        <f t="shared" si="0"/>
        <v>OK</v>
      </c>
    </row>
    <row r="32" spans="1:13" ht="23.25" customHeight="1" x14ac:dyDescent="0.25">
      <c r="A32" s="5" t="s">
        <v>443</v>
      </c>
      <c r="B32" s="5" t="s">
        <v>338</v>
      </c>
      <c r="C32" s="5" t="s">
        <v>444</v>
      </c>
      <c r="D32" s="29" t="s">
        <v>340</v>
      </c>
      <c r="E32" s="5" t="s">
        <v>360</v>
      </c>
      <c r="F32" s="5" t="s">
        <v>167</v>
      </c>
      <c r="G32" s="5">
        <f>COUNTIF(Pemetaan!$B$5:$B$64,A32)</f>
        <v>0</v>
      </c>
      <c r="H32" s="5" t="s">
        <v>445</v>
      </c>
      <c r="I32" s="30" t="s">
        <v>343</v>
      </c>
      <c r="J32" s="5" t="s">
        <v>167</v>
      </c>
      <c r="K32" s="5" t="s">
        <v>446</v>
      </c>
      <c r="L32" s="30" t="s">
        <v>343</v>
      </c>
      <c r="M32" s="5" t="str">
        <f t="shared" si="0"/>
        <v>OK</v>
      </c>
    </row>
    <row r="33" spans="1:13" ht="15" customHeight="1" x14ac:dyDescent="0.25">
      <c r="A33" s="5" t="s">
        <v>447</v>
      </c>
      <c r="B33" s="5" t="s">
        <v>338</v>
      </c>
      <c r="C33" s="5" t="s">
        <v>448</v>
      </c>
      <c r="D33" s="29" t="s">
        <v>340</v>
      </c>
      <c r="E33" s="5" t="s">
        <v>375</v>
      </c>
      <c r="F33" s="5" t="s">
        <v>167</v>
      </c>
      <c r="G33" s="5">
        <f>COUNTIF(Pemetaan!$B$5:$B$64,A33)</f>
        <v>0</v>
      </c>
      <c r="H33" s="5" t="s">
        <v>449</v>
      </c>
      <c r="I33" s="30" t="s">
        <v>343</v>
      </c>
      <c r="J33" s="5" t="s">
        <v>167</v>
      </c>
      <c r="K33" s="5" t="s">
        <v>450</v>
      </c>
      <c r="L33" s="30" t="s">
        <v>343</v>
      </c>
      <c r="M33" s="5" t="str">
        <f t="shared" si="0"/>
        <v>OK</v>
      </c>
    </row>
    <row r="34" spans="1:13" ht="15" customHeight="1" x14ac:dyDescent="0.25">
      <c r="A34" s="5" t="s">
        <v>451</v>
      </c>
      <c r="B34" s="5" t="s">
        <v>338</v>
      </c>
      <c r="C34" s="5" t="s">
        <v>452</v>
      </c>
      <c r="D34" s="29" t="s">
        <v>340</v>
      </c>
      <c r="E34" s="5" t="s">
        <v>375</v>
      </c>
      <c r="F34" s="5" t="s">
        <v>167</v>
      </c>
      <c r="G34" s="5">
        <f>COUNTIF(Pemetaan!$B$5:$B$64,A34)</f>
        <v>0</v>
      </c>
      <c r="H34" s="5" t="s">
        <v>453</v>
      </c>
      <c r="I34" s="30" t="s">
        <v>343</v>
      </c>
      <c r="J34" s="5" t="s">
        <v>167</v>
      </c>
      <c r="K34" s="5" t="s">
        <v>454</v>
      </c>
      <c r="L34" s="30" t="s">
        <v>343</v>
      </c>
      <c r="M34" s="5" t="str">
        <f t="shared" si="0"/>
        <v>OK</v>
      </c>
    </row>
    <row r="35" spans="1:13" ht="15" customHeight="1" x14ac:dyDescent="0.25">
      <c r="A35" s="5" t="s">
        <v>312</v>
      </c>
      <c r="B35" s="5" t="s">
        <v>338</v>
      </c>
      <c r="C35" s="5" t="s">
        <v>455</v>
      </c>
      <c r="D35" s="29" t="s">
        <v>340</v>
      </c>
      <c r="E35" s="5" t="s">
        <v>283</v>
      </c>
      <c r="F35" s="5" t="s">
        <v>76</v>
      </c>
      <c r="G35" s="5">
        <f>COUNTIF(Pemetaan!$B$5:$B$64,A35)</f>
        <v>1</v>
      </c>
      <c r="H35" s="5" t="s">
        <v>456</v>
      </c>
      <c r="I35" s="30" t="s">
        <v>351</v>
      </c>
      <c r="J35" s="31">
        <f>IF(E35="Risiko",$C$3+Evaluasi!$D$6,EDATE($C$3,6))</f>
        <v>46397</v>
      </c>
      <c r="K35" s="5" t="s">
        <v>457</v>
      </c>
      <c r="L35" s="30" t="s">
        <v>353</v>
      </c>
      <c r="M35" s="5" t="str">
        <f t="shared" si="0"/>
        <v>OK</v>
      </c>
    </row>
    <row r="36" spans="1:13" ht="23.25" customHeight="1" x14ac:dyDescent="0.25">
      <c r="A36" s="5" t="s">
        <v>310</v>
      </c>
      <c r="B36" s="5" t="s">
        <v>338</v>
      </c>
      <c r="C36" s="5" t="s">
        <v>458</v>
      </c>
      <c r="D36" s="29" t="s">
        <v>340</v>
      </c>
      <c r="E36" s="5" t="s">
        <v>283</v>
      </c>
      <c r="F36" s="5" t="s">
        <v>76</v>
      </c>
      <c r="G36" s="5">
        <f>COUNTIF(Pemetaan!$B$5:$B$64,A36)</f>
        <v>1</v>
      </c>
      <c r="H36" s="5" t="s">
        <v>459</v>
      </c>
      <c r="I36" s="30" t="s">
        <v>351</v>
      </c>
      <c r="J36" s="31">
        <f>IF(E36="Risiko",$C$3+Evaluasi!$D$6,EDATE($C$3,6))</f>
        <v>46397</v>
      </c>
      <c r="K36" s="5" t="s">
        <v>460</v>
      </c>
      <c r="L36" s="30" t="s">
        <v>353</v>
      </c>
      <c r="M36" s="5" t="str">
        <f t="shared" si="0"/>
        <v>OK</v>
      </c>
    </row>
    <row r="37" spans="1:13" ht="23.25" customHeight="1" x14ac:dyDescent="0.25">
      <c r="A37" s="5" t="s">
        <v>461</v>
      </c>
      <c r="B37" s="5" t="s">
        <v>338</v>
      </c>
      <c r="C37" s="5" t="s">
        <v>462</v>
      </c>
      <c r="D37" s="29" t="s">
        <v>340</v>
      </c>
      <c r="E37" s="5" t="s">
        <v>360</v>
      </c>
      <c r="F37" s="5" t="s">
        <v>167</v>
      </c>
      <c r="G37" s="5">
        <f>COUNTIF(Pemetaan!$B$5:$B$64,A37)</f>
        <v>0</v>
      </c>
      <c r="H37" s="5" t="s">
        <v>463</v>
      </c>
      <c r="I37" s="30" t="s">
        <v>464</v>
      </c>
      <c r="J37" s="5" t="s">
        <v>167</v>
      </c>
      <c r="K37" s="5" t="s">
        <v>465</v>
      </c>
      <c r="L37" s="30" t="s">
        <v>353</v>
      </c>
      <c r="M37" s="5" t="str">
        <f t="shared" si="0"/>
        <v>OK</v>
      </c>
    </row>
    <row r="38" spans="1:13" ht="23.25" customHeight="1" x14ac:dyDescent="0.25">
      <c r="A38" s="5" t="s">
        <v>466</v>
      </c>
      <c r="B38" s="5" t="s">
        <v>338</v>
      </c>
      <c r="C38" s="5" t="s">
        <v>467</v>
      </c>
      <c r="D38" s="29" t="s">
        <v>340</v>
      </c>
      <c r="E38" s="5" t="s">
        <v>375</v>
      </c>
      <c r="F38" s="5" t="s">
        <v>167</v>
      </c>
      <c r="G38" s="5">
        <f>COUNTIF(Pemetaan!$B$5:$B$64,A38)</f>
        <v>0</v>
      </c>
      <c r="H38" s="5" t="s">
        <v>468</v>
      </c>
      <c r="I38" s="30" t="s">
        <v>343</v>
      </c>
      <c r="J38" s="5" t="s">
        <v>167</v>
      </c>
      <c r="K38" s="5" t="s">
        <v>469</v>
      </c>
      <c r="L38" s="30" t="s">
        <v>343</v>
      </c>
      <c r="M38" s="5" t="str">
        <f t="shared" si="0"/>
        <v>OK</v>
      </c>
    </row>
    <row r="39" spans="1:13" ht="23.25" customHeight="1" x14ac:dyDescent="0.25">
      <c r="A39" s="5" t="s">
        <v>470</v>
      </c>
      <c r="B39" s="5" t="s">
        <v>338</v>
      </c>
      <c r="C39" s="5" t="s">
        <v>471</v>
      </c>
      <c r="D39" s="29" t="s">
        <v>340</v>
      </c>
      <c r="E39" s="5" t="s">
        <v>360</v>
      </c>
      <c r="F39" s="5" t="s">
        <v>167</v>
      </c>
      <c r="G39" s="5">
        <f>COUNTIF(Pemetaan!$B$5:$B$64,A39)</f>
        <v>0</v>
      </c>
      <c r="H39" s="5" t="s">
        <v>472</v>
      </c>
      <c r="I39" s="30" t="s">
        <v>343</v>
      </c>
      <c r="J39" s="5" t="s">
        <v>167</v>
      </c>
      <c r="K39" s="5" t="s">
        <v>473</v>
      </c>
      <c r="L39" s="30" t="s">
        <v>343</v>
      </c>
      <c r="M39" s="5" t="str">
        <f t="shared" ref="M39:M70" si="1">IF(AND(D39="Tidak",G39&gt;0),"Konflik: ada risiko terkait",IF(AND(D39="Ya",E39="Risiko",G39=0),"Tidak ada risiko terkait",IF(AND(D39="Ya",I39="-"),"Status kosong",IF(AND(I39="Sudah diterapkan",L39&lt;&gt;"Ada"),"Status Sudah tanpa bukti lengkap",IF(AND(I39="Sebagian",L39="Belum ada"),"Status Sebagian tanpa bukti",IF(AND(I39="Terencana",L39="Ada"),"Terencana tapi bukti sudah ada, cek statusnya",IF(AND(I39="Terencana",ISNUMBER(J39),J39&lt;$C$5),"Target terlewat","OK")))))))</f>
        <v>OK</v>
      </c>
    </row>
    <row r="40" spans="1:13" ht="23.25" customHeight="1" x14ac:dyDescent="0.25">
      <c r="A40" s="5" t="s">
        <v>319</v>
      </c>
      <c r="B40" s="5" t="s">
        <v>338</v>
      </c>
      <c r="C40" s="5" t="s">
        <v>474</v>
      </c>
      <c r="D40" s="29" t="s">
        <v>340</v>
      </c>
      <c r="E40" s="5" t="s">
        <v>283</v>
      </c>
      <c r="F40" s="5" t="s">
        <v>96</v>
      </c>
      <c r="G40" s="5">
        <f>COUNTIF(Pemetaan!$B$5:$B$64,A40)</f>
        <v>1</v>
      </c>
      <c r="H40" s="5" t="s">
        <v>475</v>
      </c>
      <c r="I40" s="30" t="s">
        <v>351</v>
      </c>
      <c r="J40" s="31">
        <f>IF(E40="Risiko",$C$3+Evaluasi!$D$6,EDATE($C$3,6))</f>
        <v>46397</v>
      </c>
      <c r="K40" s="5" t="s">
        <v>476</v>
      </c>
      <c r="L40" s="30" t="s">
        <v>353</v>
      </c>
      <c r="M40" s="5" t="str">
        <f t="shared" si="1"/>
        <v>OK</v>
      </c>
    </row>
    <row r="41" spans="1:13" ht="15" customHeight="1" x14ac:dyDescent="0.25">
      <c r="A41" s="5" t="s">
        <v>477</v>
      </c>
      <c r="B41" s="5" t="s">
        <v>338</v>
      </c>
      <c r="C41" s="5" t="s">
        <v>478</v>
      </c>
      <c r="D41" s="29" t="s">
        <v>340</v>
      </c>
      <c r="E41" s="5" t="s">
        <v>341</v>
      </c>
      <c r="F41" s="5" t="s">
        <v>167</v>
      </c>
      <c r="G41" s="5">
        <f>COUNTIF(Pemetaan!$B$5:$B$64,A41)</f>
        <v>0</v>
      </c>
      <c r="H41" s="5" t="s">
        <v>479</v>
      </c>
      <c r="I41" s="30" t="s">
        <v>351</v>
      </c>
      <c r="J41" s="31">
        <f>IF(E41="Risiko",$C$3+Evaluasi!$D$6,EDATE($C$3,6))</f>
        <v>46489</v>
      </c>
      <c r="K41" s="5" t="s">
        <v>480</v>
      </c>
      <c r="L41" s="30" t="s">
        <v>353</v>
      </c>
      <c r="M41" s="5" t="str">
        <f t="shared" si="1"/>
        <v>OK</v>
      </c>
    </row>
    <row r="42" spans="1:13" ht="23.25" customHeight="1" x14ac:dyDescent="0.25">
      <c r="A42" s="5" t="s">
        <v>481</v>
      </c>
      <c r="B42" s="5" t="s">
        <v>338</v>
      </c>
      <c r="C42" s="5" t="s">
        <v>482</v>
      </c>
      <c r="D42" s="29" t="s">
        <v>340</v>
      </c>
      <c r="E42" s="5" t="s">
        <v>341</v>
      </c>
      <c r="F42" s="5" t="s">
        <v>167</v>
      </c>
      <c r="G42" s="5">
        <f>COUNTIF(Pemetaan!$B$5:$B$64,A42)</f>
        <v>0</v>
      </c>
      <c r="H42" s="5" t="s">
        <v>483</v>
      </c>
      <c r="I42" s="30" t="s">
        <v>343</v>
      </c>
      <c r="J42" s="5" t="s">
        <v>167</v>
      </c>
      <c r="K42" s="5" t="s">
        <v>484</v>
      </c>
      <c r="L42" s="30" t="s">
        <v>343</v>
      </c>
      <c r="M42" s="5" t="str">
        <f t="shared" si="1"/>
        <v>OK</v>
      </c>
    </row>
    <row r="43" spans="1:13" ht="23.25" customHeight="1" x14ac:dyDescent="0.25">
      <c r="A43" s="5" t="s">
        <v>485</v>
      </c>
      <c r="B43" s="5" t="s">
        <v>338</v>
      </c>
      <c r="C43" s="5" t="s">
        <v>486</v>
      </c>
      <c r="D43" s="29" t="s">
        <v>340</v>
      </c>
      <c r="E43" s="5" t="s">
        <v>375</v>
      </c>
      <c r="F43" s="5" t="s">
        <v>167</v>
      </c>
      <c r="G43" s="5">
        <f>COUNTIF(Pemetaan!$B$5:$B$64,A43)</f>
        <v>0</v>
      </c>
      <c r="H43" s="5" t="s">
        <v>487</v>
      </c>
      <c r="I43" s="30" t="s">
        <v>343</v>
      </c>
      <c r="J43" s="5" t="s">
        <v>167</v>
      </c>
      <c r="K43" s="5" t="s">
        <v>488</v>
      </c>
      <c r="L43" s="30" t="s">
        <v>343</v>
      </c>
      <c r="M43" s="5" t="str">
        <f t="shared" si="1"/>
        <v>OK</v>
      </c>
    </row>
    <row r="44" spans="1:13" ht="23.25" customHeight="1" x14ac:dyDescent="0.25">
      <c r="A44" s="5" t="s">
        <v>489</v>
      </c>
      <c r="B44" s="5" t="s">
        <v>490</v>
      </c>
      <c r="C44" s="5" t="s">
        <v>491</v>
      </c>
      <c r="D44" s="29" t="s">
        <v>340</v>
      </c>
      <c r="E44" s="5" t="s">
        <v>375</v>
      </c>
      <c r="F44" s="5" t="s">
        <v>167</v>
      </c>
      <c r="G44" s="5">
        <f>COUNTIF(Pemetaan!$B$5:$B$64,A44)</f>
        <v>0</v>
      </c>
      <c r="H44" s="5" t="s">
        <v>492</v>
      </c>
      <c r="I44" s="30" t="s">
        <v>343</v>
      </c>
      <c r="J44" s="5" t="s">
        <v>167</v>
      </c>
      <c r="K44" s="5" t="s">
        <v>493</v>
      </c>
      <c r="L44" s="30" t="s">
        <v>343</v>
      </c>
      <c r="M44" s="5" t="str">
        <f t="shared" si="1"/>
        <v>OK</v>
      </c>
    </row>
    <row r="45" spans="1:13" ht="15" customHeight="1" x14ac:dyDescent="0.25">
      <c r="A45" s="5" t="s">
        <v>494</v>
      </c>
      <c r="B45" s="5" t="s">
        <v>490</v>
      </c>
      <c r="C45" s="5" t="s">
        <v>495</v>
      </c>
      <c r="D45" s="29" t="s">
        <v>340</v>
      </c>
      <c r="E45" s="5" t="s">
        <v>375</v>
      </c>
      <c r="F45" s="5" t="s">
        <v>167</v>
      </c>
      <c r="G45" s="5">
        <f>COUNTIF(Pemetaan!$B$5:$B$64,A45)</f>
        <v>0</v>
      </c>
      <c r="H45" s="5" t="s">
        <v>496</v>
      </c>
      <c r="I45" s="30" t="s">
        <v>343</v>
      </c>
      <c r="J45" s="5" t="s">
        <v>167</v>
      </c>
      <c r="K45" s="5" t="s">
        <v>497</v>
      </c>
      <c r="L45" s="30" t="s">
        <v>343</v>
      </c>
      <c r="M45" s="5" t="str">
        <f t="shared" si="1"/>
        <v>OK</v>
      </c>
    </row>
    <row r="46" spans="1:13" ht="23.25" customHeight="1" x14ac:dyDescent="0.25">
      <c r="A46" s="5" t="s">
        <v>313</v>
      </c>
      <c r="B46" s="5" t="s">
        <v>490</v>
      </c>
      <c r="C46" s="5" t="s">
        <v>498</v>
      </c>
      <c r="D46" s="29" t="s">
        <v>340</v>
      </c>
      <c r="E46" s="5" t="s">
        <v>283</v>
      </c>
      <c r="F46" s="5" t="s">
        <v>88</v>
      </c>
      <c r="G46" s="5">
        <f>COUNTIF(Pemetaan!$B$5:$B$64,A46)</f>
        <v>1</v>
      </c>
      <c r="H46" s="5" t="s">
        <v>499</v>
      </c>
      <c r="I46" s="30" t="s">
        <v>351</v>
      </c>
      <c r="J46" s="31">
        <f>IF(E46="Risiko",$C$3+Evaluasi!$D$6,EDATE($C$3,6))</f>
        <v>46397</v>
      </c>
      <c r="K46" s="5" t="s">
        <v>500</v>
      </c>
      <c r="L46" s="30" t="s">
        <v>353</v>
      </c>
      <c r="M46" s="5" t="str">
        <f t="shared" si="1"/>
        <v>OK</v>
      </c>
    </row>
    <row r="47" spans="1:13" ht="15" customHeight="1" x14ac:dyDescent="0.25">
      <c r="A47" s="5" t="s">
        <v>501</v>
      </c>
      <c r="B47" s="5" t="s">
        <v>490</v>
      </c>
      <c r="C47" s="5" t="s">
        <v>502</v>
      </c>
      <c r="D47" s="29" t="s">
        <v>340</v>
      </c>
      <c r="E47" s="5" t="s">
        <v>375</v>
      </c>
      <c r="F47" s="5" t="s">
        <v>167</v>
      </c>
      <c r="G47" s="5">
        <f>COUNTIF(Pemetaan!$B$5:$B$64,A47)</f>
        <v>0</v>
      </c>
      <c r="H47" s="5" t="s">
        <v>503</v>
      </c>
      <c r="I47" s="30" t="s">
        <v>343</v>
      </c>
      <c r="J47" s="5" t="s">
        <v>167</v>
      </c>
      <c r="K47" s="5" t="s">
        <v>504</v>
      </c>
      <c r="L47" s="30" t="s">
        <v>343</v>
      </c>
      <c r="M47" s="5" t="str">
        <f t="shared" si="1"/>
        <v>OK</v>
      </c>
    </row>
    <row r="48" spans="1:13" ht="23.25" customHeight="1" x14ac:dyDescent="0.25">
      <c r="A48" s="5" t="s">
        <v>505</v>
      </c>
      <c r="B48" s="5" t="s">
        <v>490</v>
      </c>
      <c r="C48" s="5" t="s">
        <v>506</v>
      </c>
      <c r="D48" s="29" t="s">
        <v>340</v>
      </c>
      <c r="E48" s="5" t="s">
        <v>375</v>
      </c>
      <c r="F48" s="5" t="s">
        <v>167</v>
      </c>
      <c r="G48" s="5">
        <f>COUNTIF(Pemetaan!$B$5:$B$64,A48)</f>
        <v>0</v>
      </c>
      <c r="H48" s="5" t="s">
        <v>507</v>
      </c>
      <c r="I48" s="30" t="s">
        <v>343</v>
      </c>
      <c r="J48" s="5" t="s">
        <v>167</v>
      </c>
      <c r="K48" s="5" t="s">
        <v>508</v>
      </c>
      <c r="L48" s="30" t="s">
        <v>343</v>
      </c>
      <c r="M48" s="5" t="str">
        <f t="shared" si="1"/>
        <v>OK</v>
      </c>
    </row>
    <row r="49" spans="1:13" ht="23.25" customHeight="1" x14ac:dyDescent="0.25">
      <c r="A49" s="5" t="s">
        <v>509</v>
      </c>
      <c r="B49" s="5" t="s">
        <v>490</v>
      </c>
      <c r="C49" s="5" t="s">
        <v>510</v>
      </c>
      <c r="D49" s="29" t="s">
        <v>340</v>
      </c>
      <c r="E49" s="5" t="s">
        <v>360</v>
      </c>
      <c r="F49" s="5" t="s">
        <v>167</v>
      </c>
      <c r="G49" s="5">
        <f>COUNTIF(Pemetaan!$B$5:$B$64,A49)</f>
        <v>0</v>
      </c>
      <c r="H49" s="5" t="s">
        <v>511</v>
      </c>
      <c r="I49" s="30" t="s">
        <v>343</v>
      </c>
      <c r="J49" s="5" t="s">
        <v>167</v>
      </c>
      <c r="K49" s="5" t="s">
        <v>512</v>
      </c>
      <c r="L49" s="30" t="s">
        <v>343</v>
      </c>
      <c r="M49" s="5" t="str">
        <f t="shared" si="1"/>
        <v>OK</v>
      </c>
    </row>
    <row r="50" spans="1:13" ht="23.25" customHeight="1" x14ac:dyDescent="0.25">
      <c r="A50" s="5" t="s">
        <v>513</v>
      </c>
      <c r="B50" s="5" t="s">
        <v>490</v>
      </c>
      <c r="C50" s="5" t="s">
        <v>514</v>
      </c>
      <c r="D50" s="29" t="s">
        <v>340</v>
      </c>
      <c r="E50" s="5" t="s">
        <v>375</v>
      </c>
      <c r="F50" s="5" t="s">
        <v>167</v>
      </c>
      <c r="G50" s="5">
        <f>COUNTIF(Pemetaan!$B$5:$B$64,A50)</f>
        <v>0</v>
      </c>
      <c r="H50" s="5" t="s">
        <v>515</v>
      </c>
      <c r="I50" s="30" t="s">
        <v>343</v>
      </c>
      <c r="J50" s="5" t="s">
        <v>167</v>
      </c>
      <c r="K50" s="5" t="s">
        <v>516</v>
      </c>
      <c r="L50" s="30" t="s">
        <v>343</v>
      </c>
      <c r="M50" s="5" t="str">
        <f t="shared" si="1"/>
        <v>OK</v>
      </c>
    </row>
    <row r="51" spans="1:13" ht="15" customHeight="1" x14ac:dyDescent="0.25">
      <c r="A51" s="5" t="s">
        <v>315</v>
      </c>
      <c r="B51" s="5" t="s">
        <v>490</v>
      </c>
      <c r="C51" s="5" t="s">
        <v>517</v>
      </c>
      <c r="D51" s="29" t="s">
        <v>340</v>
      </c>
      <c r="E51" s="5" t="s">
        <v>283</v>
      </c>
      <c r="F51" s="5" t="s">
        <v>88</v>
      </c>
      <c r="G51" s="5">
        <f>COUNTIF(Pemetaan!$B$5:$B$64,A51)</f>
        <v>1</v>
      </c>
      <c r="H51" s="5" t="s">
        <v>518</v>
      </c>
      <c r="I51" s="30" t="s">
        <v>351</v>
      </c>
      <c r="J51" s="31">
        <f>IF(E51="Risiko",$C$3+Evaluasi!$D$6,EDATE($C$3,6))</f>
        <v>46397</v>
      </c>
      <c r="K51" s="5" t="s">
        <v>519</v>
      </c>
      <c r="L51" s="30" t="s">
        <v>353</v>
      </c>
      <c r="M51" s="5" t="str">
        <f t="shared" si="1"/>
        <v>OK</v>
      </c>
    </row>
    <row r="52" spans="1:13" ht="15" customHeight="1" x14ac:dyDescent="0.25">
      <c r="A52" s="5" t="s">
        <v>520</v>
      </c>
      <c r="B52" s="5" t="s">
        <v>521</v>
      </c>
      <c r="C52" s="5" t="s">
        <v>522</v>
      </c>
      <c r="D52" s="29" t="s">
        <v>340</v>
      </c>
      <c r="E52" s="5" t="s">
        <v>375</v>
      </c>
      <c r="F52" s="5" t="s">
        <v>167</v>
      </c>
      <c r="G52" s="5">
        <f>COUNTIF(Pemetaan!$B$5:$B$64,A52)</f>
        <v>0</v>
      </c>
      <c r="H52" s="5" t="s">
        <v>523</v>
      </c>
      <c r="I52" s="30" t="s">
        <v>343</v>
      </c>
      <c r="J52" s="5" t="s">
        <v>167</v>
      </c>
      <c r="K52" s="5" t="s">
        <v>524</v>
      </c>
      <c r="L52" s="30" t="s">
        <v>343</v>
      </c>
      <c r="M52" s="5" t="str">
        <f t="shared" si="1"/>
        <v>OK</v>
      </c>
    </row>
    <row r="53" spans="1:13" ht="15" customHeight="1" x14ac:dyDescent="0.25">
      <c r="A53" s="5" t="s">
        <v>525</v>
      </c>
      <c r="B53" s="5" t="s">
        <v>521</v>
      </c>
      <c r="C53" s="5" t="s">
        <v>526</v>
      </c>
      <c r="D53" s="29" t="s">
        <v>340</v>
      </c>
      <c r="E53" s="5" t="s">
        <v>375</v>
      </c>
      <c r="F53" s="5" t="s">
        <v>167</v>
      </c>
      <c r="G53" s="5">
        <f>COUNTIF(Pemetaan!$B$5:$B$64,A53)</f>
        <v>0</v>
      </c>
      <c r="H53" s="5" t="s">
        <v>527</v>
      </c>
      <c r="I53" s="30" t="s">
        <v>343</v>
      </c>
      <c r="J53" s="5" t="s">
        <v>167</v>
      </c>
      <c r="K53" s="5" t="s">
        <v>528</v>
      </c>
      <c r="L53" s="30" t="s">
        <v>343</v>
      </c>
      <c r="M53" s="5" t="str">
        <f t="shared" si="1"/>
        <v>OK</v>
      </c>
    </row>
    <row r="54" spans="1:13" ht="15" customHeight="1" x14ac:dyDescent="0.25">
      <c r="A54" s="5" t="s">
        <v>529</v>
      </c>
      <c r="B54" s="5" t="s">
        <v>521</v>
      </c>
      <c r="C54" s="5" t="s">
        <v>530</v>
      </c>
      <c r="D54" s="29" t="s">
        <v>340</v>
      </c>
      <c r="E54" s="5" t="s">
        <v>375</v>
      </c>
      <c r="F54" s="5" t="s">
        <v>167</v>
      </c>
      <c r="G54" s="5">
        <f>COUNTIF(Pemetaan!$B$5:$B$64,A54)</f>
        <v>0</v>
      </c>
      <c r="H54" s="5" t="s">
        <v>531</v>
      </c>
      <c r="I54" s="30" t="s">
        <v>343</v>
      </c>
      <c r="J54" s="5" t="s">
        <v>167</v>
      </c>
      <c r="K54" s="5" t="s">
        <v>532</v>
      </c>
      <c r="L54" s="30" t="s">
        <v>343</v>
      </c>
      <c r="M54" s="5" t="str">
        <f t="shared" si="1"/>
        <v>OK</v>
      </c>
    </row>
    <row r="55" spans="1:13" ht="15" customHeight="1" x14ac:dyDescent="0.25">
      <c r="A55" s="5" t="s">
        <v>533</v>
      </c>
      <c r="B55" s="5" t="s">
        <v>521</v>
      </c>
      <c r="C55" s="5" t="s">
        <v>534</v>
      </c>
      <c r="D55" s="29" t="s">
        <v>340</v>
      </c>
      <c r="E55" s="5" t="s">
        <v>375</v>
      </c>
      <c r="F55" s="5" t="s">
        <v>167</v>
      </c>
      <c r="G55" s="5">
        <f>COUNTIF(Pemetaan!$B$5:$B$64,A55)</f>
        <v>0</v>
      </c>
      <c r="H55" s="5" t="s">
        <v>535</v>
      </c>
      <c r="I55" s="30" t="s">
        <v>343</v>
      </c>
      <c r="J55" s="5" t="s">
        <v>167</v>
      </c>
      <c r="K55" s="5" t="s">
        <v>536</v>
      </c>
      <c r="L55" s="30" t="s">
        <v>343</v>
      </c>
      <c r="M55" s="5" t="str">
        <f t="shared" si="1"/>
        <v>OK</v>
      </c>
    </row>
    <row r="56" spans="1:13" ht="23.25" customHeight="1" x14ac:dyDescent="0.25">
      <c r="A56" s="5" t="s">
        <v>537</v>
      </c>
      <c r="B56" s="5" t="s">
        <v>521</v>
      </c>
      <c r="C56" s="5" t="s">
        <v>538</v>
      </c>
      <c r="D56" s="29" t="s">
        <v>340</v>
      </c>
      <c r="E56" s="5" t="s">
        <v>375</v>
      </c>
      <c r="F56" s="5" t="s">
        <v>167</v>
      </c>
      <c r="G56" s="5">
        <f>COUNTIF(Pemetaan!$B$5:$B$64,A56)</f>
        <v>0</v>
      </c>
      <c r="H56" s="5" t="s">
        <v>539</v>
      </c>
      <c r="I56" s="30" t="s">
        <v>343</v>
      </c>
      <c r="J56" s="5" t="s">
        <v>167</v>
      </c>
      <c r="K56" s="5" t="s">
        <v>540</v>
      </c>
      <c r="L56" s="30" t="s">
        <v>343</v>
      </c>
      <c r="M56" s="5" t="str">
        <f t="shared" si="1"/>
        <v>OK</v>
      </c>
    </row>
    <row r="57" spans="1:13" ht="23.25" customHeight="1" x14ac:dyDescent="0.25">
      <c r="A57" s="5" t="s">
        <v>541</v>
      </c>
      <c r="B57" s="5" t="s">
        <v>521</v>
      </c>
      <c r="C57" s="5" t="s">
        <v>542</v>
      </c>
      <c r="D57" s="29" t="s">
        <v>365</v>
      </c>
      <c r="E57" s="5" t="s">
        <v>366</v>
      </c>
      <c r="F57" s="5" t="s">
        <v>167</v>
      </c>
      <c r="G57" s="5">
        <f>COUNTIF(Pemetaan!$B$5:$B$64,A57)</f>
        <v>0</v>
      </c>
      <c r="H57" s="5" t="s">
        <v>543</v>
      </c>
      <c r="I57" s="30" t="s">
        <v>167</v>
      </c>
      <c r="J57" s="5" t="s">
        <v>167</v>
      </c>
      <c r="K57" s="5" t="s">
        <v>544</v>
      </c>
      <c r="L57" s="30" t="s">
        <v>167</v>
      </c>
      <c r="M57" s="5" t="str">
        <f t="shared" si="1"/>
        <v>OK</v>
      </c>
    </row>
    <row r="58" spans="1:13" ht="15" customHeight="1" x14ac:dyDescent="0.25">
      <c r="A58" s="5" t="s">
        <v>545</v>
      </c>
      <c r="B58" s="5" t="s">
        <v>521</v>
      </c>
      <c r="C58" s="5" t="s">
        <v>546</v>
      </c>
      <c r="D58" s="29" t="s">
        <v>340</v>
      </c>
      <c r="E58" s="5" t="s">
        <v>375</v>
      </c>
      <c r="F58" s="5" t="s">
        <v>167</v>
      </c>
      <c r="G58" s="5">
        <f>COUNTIF(Pemetaan!$B$5:$B$64,A58)</f>
        <v>0</v>
      </c>
      <c r="H58" s="5" t="s">
        <v>547</v>
      </c>
      <c r="I58" s="30" t="s">
        <v>343</v>
      </c>
      <c r="J58" s="5" t="s">
        <v>167</v>
      </c>
      <c r="K58" s="5" t="s">
        <v>548</v>
      </c>
      <c r="L58" s="30" t="s">
        <v>343</v>
      </c>
      <c r="M58" s="5" t="str">
        <f t="shared" si="1"/>
        <v>OK</v>
      </c>
    </row>
    <row r="59" spans="1:13" ht="15" customHeight="1" x14ac:dyDescent="0.25">
      <c r="A59" s="5" t="s">
        <v>549</v>
      </c>
      <c r="B59" s="5" t="s">
        <v>521</v>
      </c>
      <c r="C59" s="5" t="s">
        <v>550</v>
      </c>
      <c r="D59" s="29" t="s">
        <v>340</v>
      </c>
      <c r="E59" s="5" t="s">
        <v>375</v>
      </c>
      <c r="F59" s="5" t="s">
        <v>167</v>
      </c>
      <c r="G59" s="5">
        <f>COUNTIF(Pemetaan!$B$5:$B$64,A59)</f>
        <v>0</v>
      </c>
      <c r="H59" s="5" t="s">
        <v>551</v>
      </c>
      <c r="I59" s="30" t="s">
        <v>343</v>
      </c>
      <c r="J59" s="5" t="s">
        <v>167</v>
      </c>
      <c r="K59" s="5" t="s">
        <v>552</v>
      </c>
      <c r="L59" s="30" t="s">
        <v>343</v>
      </c>
      <c r="M59" s="5" t="str">
        <f t="shared" si="1"/>
        <v>OK</v>
      </c>
    </row>
    <row r="60" spans="1:13" ht="23.25" customHeight="1" x14ac:dyDescent="0.25">
      <c r="A60" s="5" t="s">
        <v>553</v>
      </c>
      <c r="B60" s="5" t="s">
        <v>521</v>
      </c>
      <c r="C60" s="5" t="s">
        <v>554</v>
      </c>
      <c r="D60" s="29" t="s">
        <v>365</v>
      </c>
      <c r="E60" s="5" t="s">
        <v>366</v>
      </c>
      <c r="F60" s="5" t="s">
        <v>167</v>
      </c>
      <c r="G60" s="5">
        <f>COUNTIF(Pemetaan!$B$5:$B$64,A60)</f>
        <v>0</v>
      </c>
      <c r="H60" s="5" t="s">
        <v>555</v>
      </c>
      <c r="I60" s="30" t="s">
        <v>167</v>
      </c>
      <c r="J60" s="5" t="s">
        <v>167</v>
      </c>
      <c r="K60" s="5" t="s">
        <v>556</v>
      </c>
      <c r="L60" s="30" t="s">
        <v>167</v>
      </c>
      <c r="M60" s="5" t="str">
        <f t="shared" si="1"/>
        <v>OK</v>
      </c>
    </row>
    <row r="61" spans="1:13" ht="15" customHeight="1" x14ac:dyDescent="0.25">
      <c r="A61" s="5" t="s">
        <v>557</v>
      </c>
      <c r="B61" s="5" t="s">
        <v>521</v>
      </c>
      <c r="C61" s="5" t="s">
        <v>558</v>
      </c>
      <c r="D61" s="29" t="s">
        <v>340</v>
      </c>
      <c r="E61" s="5" t="s">
        <v>375</v>
      </c>
      <c r="F61" s="5" t="s">
        <v>167</v>
      </c>
      <c r="G61" s="5">
        <f>COUNTIF(Pemetaan!$B$5:$B$64,A61)</f>
        <v>0</v>
      </c>
      <c r="H61" s="5" t="s">
        <v>559</v>
      </c>
      <c r="I61" s="30" t="s">
        <v>343</v>
      </c>
      <c r="J61" s="5" t="s">
        <v>167</v>
      </c>
      <c r="K61" s="5" t="s">
        <v>560</v>
      </c>
      <c r="L61" s="30" t="s">
        <v>343</v>
      </c>
      <c r="M61" s="5" t="str">
        <f t="shared" si="1"/>
        <v>OK</v>
      </c>
    </row>
    <row r="62" spans="1:13" ht="23.25" customHeight="1" x14ac:dyDescent="0.25">
      <c r="A62" s="5" t="s">
        <v>561</v>
      </c>
      <c r="B62" s="5" t="s">
        <v>521</v>
      </c>
      <c r="C62" s="5" t="s">
        <v>562</v>
      </c>
      <c r="D62" s="29" t="s">
        <v>365</v>
      </c>
      <c r="E62" s="5" t="s">
        <v>366</v>
      </c>
      <c r="F62" s="5" t="s">
        <v>167</v>
      </c>
      <c r="G62" s="5">
        <f>COUNTIF(Pemetaan!$B$5:$B$64,A62)</f>
        <v>0</v>
      </c>
      <c r="H62" s="5" t="s">
        <v>563</v>
      </c>
      <c r="I62" s="30" t="s">
        <v>167</v>
      </c>
      <c r="J62" s="5" t="s">
        <v>167</v>
      </c>
      <c r="K62" s="5" t="s">
        <v>564</v>
      </c>
      <c r="L62" s="30" t="s">
        <v>167</v>
      </c>
      <c r="M62" s="5" t="str">
        <f t="shared" si="1"/>
        <v>OK</v>
      </c>
    </row>
    <row r="63" spans="1:13" ht="23.25" customHeight="1" x14ac:dyDescent="0.25">
      <c r="A63" s="5" t="s">
        <v>565</v>
      </c>
      <c r="B63" s="5" t="s">
        <v>521</v>
      </c>
      <c r="C63" s="5" t="s">
        <v>566</v>
      </c>
      <c r="D63" s="29" t="s">
        <v>365</v>
      </c>
      <c r="E63" s="5" t="s">
        <v>366</v>
      </c>
      <c r="F63" s="5" t="s">
        <v>167</v>
      </c>
      <c r="G63" s="5">
        <f>COUNTIF(Pemetaan!$B$5:$B$64,A63)</f>
        <v>0</v>
      </c>
      <c r="H63" s="5" t="s">
        <v>567</v>
      </c>
      <c r="I63" s="30" t="s">
        <v>167</v>
      </c>
      <c r="J63" s="5" t="s">
        <v>167</v>
      </c>
      <c r="K63" s="5" t="s">
        <v>564</v>
      </c>
      <c r="L63" s="30" t="s">
        <v>167</v>
      </c>
      <c r="M63" s="5" t="str">
        <f t="shared" si="1"/>
        <v>OK</v>
      </c>
    </row>
    <row r="64" spans="1:13" ht="15" customHeight="1" x14ac:dyDescent="0.25">
      <c r="A64" s="5" t="s">
        <v>568</v>
      </c>
      <c r="B64" s="5" t="s">
        <v>521</v>
      </c>
      <c r="C64" s="5" t="s">
        <v>569</v>
      </c>
      <c r="D64" s="29" t="s">
        <v>340</v>
      </c>
      <c r="E64" s="5" t="s">
        <v>375</v>
      </c>
      <c r="F64" s="5" t="s">
        <v>167</v>
      </c>
      <c r="G64" s="5">
        <f>COUNTIF(Pemetaan!$B$5:$B$64,A64)</f>
        <v>0</v>
      </c>
      <c r="H64" s="5" t="s">
        <v>570</v>
      </c>
      <c r="I64" s="30" t="s">
        <v>343</v>
      </c>
      <c r="J64" s="5" t="s">
        <v>167</v>
      </c>
      <c r="K64" s="5" t="s">
        <v>571</v>
      </c>
      <c r="L64" s="30" t="s">
        <v>343</v>
      </c>
      <c r="M64" s="5" t="str">
        <f t="shared" si="1"/>
        <v>OK</v>
      </c>
    </row>
    <row r="65" spans="1:13" ht="23.25" customHeight="1" x14ac:dyDescent="0.25">
      <c r="A65" s="5" t="s">
        <v>572</v>
      </c>
      <c r="B65" s="5" t="s">
        <v>521</v>
      </c>
      <c r="C65" s="5" t="s">
        <v>573</v>
      </c>
      <c r="D65" s="29" t="s">
        <v>340</v>
      </c>
      <c r="E65" s="5" t="s">
        <v>375</v>
      </c>
      <c r="F65" s="5" t="s">
        <v>167</v>
      </c>
      <c r="G65" s="5">
        <f>COUNTIF(Pemetaan!$B$5:$B$64,A65)</f>
        <v>0</v>
      </c>
      <c r="H65" s="5" t="s">
        <v>574</v>
      </c>
      <c r="I65" s="30" t="s">
        <v>343</v>
      </c>
      <c r="J65" s="5" t="s">
        <v>167</v>
      </c>
      <c r="K65" s="5" t="s">
        <v>575</v>
      </c>
      <c r="L65" s="30" t="s">
        <v>343</v>
      </c>
      <c r="M65" s="5" t="str">
        <f t="shared" si="1"/>
        <v>OK</v>
      </c>
    </row>
    <row r="66" spans="1:13" ht="23.25" customHeight="1" x14ac:dyDescent="0.25">
      <c r="A66" s="5" t="s">
        <v>576</v>
      </c>
      <c r="B66" s="5" t="s">
        <v>577</v>
      </c>
      <c r="C66" s="5" t="s">
        <v>578</v>
      </c>
      <c r="D66" s="29" t="s">
        <v>340</v>
      </c>
      <c r="E66" s="5" t="s">
        <v>375</v>
      </c>
      <c r="F66" s="5" t="s">
        <v>167</v>
      </c>
      <c r="G66" s="5">
        <f>COUNTIF(Pemetaan!$B$5:$B$64,A66)</f>
        <v>0</v>
      </c>
      <c r="H66" s="5" t="s">
        <v>579</v>
      </c>
      <c r="I66" s="30" t="s">
        <v>343</v>
      </c>
      <c r="J66" s="5" t="s">
        <v>167</v>
      </c>
      <c r="K66" s="5" t="s">
        <v>580</v>
      </c>
      <c r="L66" s="30" t="s">
        <v>343</v>
      </c>
      <c r="M66" s="5" t="str">
        <f t="shared" si="1"/>
        <v>OK</v>
      </c>
    </row>
    <row r="67" spans="1:13" ht="15" customHeight="1" x14ac:dyDescent="0.25">
      <c r="A67" s="5" t="s">
        <v>292</v>
      </c>
      <c r="B67" s="5" t="s">
        <v>577</v>
      </c>
      <c r="C67" s="5" t="s">
        <v>581</v>
      </c>
      <c r="D67" s="29" t="s">
        <v>340</v>
      </c>
      <c r="E67" s="5" t="s">
        <v>283</v>
      </c>
      <c r="F67" s="5" t="s">
        <v>582</v>
      </c>
      <c r="G67" s="5">
        <f>COUNTIF(Pemetaan!$B$5:$B$64,A67)</f>
        <v>2</v>
      </c>
      <c r="H67" s="5" t="s">
        <v>583</v>
      </c>
      <c r="I67" s="30" t="s">
        <v>351</v>
      </c>
      <c r="J67" s="31">
        <f>IF(E67="Risiko",$C$3+Evaluasi!$D$6,EDATE($C$3,6))</f>
        <v>46397</v>
      </c>
      <c r="K67" s="5" t="s">
        <v>584</v>
      </c>
      <c r="L67" s="30" t="s">
        <v>353</v>
      </c>
      <c r="M67" s="5" t="str">
        <f t="shared" si="1"/>
        <v>OK</v>
      </c>
    </row>
    <row r="68" spans="1:13" ht="23.25" customHeight="1" x14ac:dyDescent="0.25">
      <c r="A68" s="5" t="s">
        <v>293</v>
      </c>
      <c r="B68" s="5" t="s">
        <v>577</v>
      </c>
      <c r="C68" s="5" t="s">
        <v>585</v>
      </c>
      <c r="D68" s="29" t="s">
        <v>340</v>
      </c>
      <c r="E68" s="5" t="s">
        <v>283</v>
      </c>
      <c r="F68" s="5" t="s">
        <v>586</v>
      </c>
      <c r="G68" s="5">
        <f>COUNTIF(Pemetaan!$B$5:$B$64,A68)</f>
        <v>5</v>
      </c>
      <c r="H68" s="5" t="s">
        <v>587</v>
      </c>
      <c r="I68" s="30" t="s">
        <v>351</v>
      </c>
      <c r="J68" s="31">
        <f>IF(E68="Risiko",$C$3+Evaluasi!$D$6,EDATE($C$3,6))</f>
        <v>46397</v>
      </c>
      <c r="K68" s="5" t="s">
        <v>588</v>
      </c>
      <c r="L68" s="30" t="s">
        <v>353</v>
      </c>
      <c r="M68" s="5" t="str">
        <f t="shared" si="1"/>
        <v>OK</v>
      </c>
    </row>
    <row r="69" spans="1:13" ht="15" customHeight="1" x14ac:dyDescent="0.25">
      <c r="A69" s="5" t="s">
        <v>302</v>
      </c>
      <c r="B69" s="5" t="s">
        <v>577</v>
      </c>
      <c r="C69" s="5" t="s">
        <v>589</v>
      </c>
      <c r="D69" s="29" t="s">
        <v>340</v>
      </c>
      <c r="E69" s="5" t="s">
        <v>283</v>
      </c>
      <c r="F69" s="5" t="s">
        <v>219</v>
      </c>
      <c r="G69" s="5">
        <f>COUNTIF(Pemetaan!$B$5:$B$64,A69)</f>
        <v>3</v>
      </c>
      <c r="H69" s="5" t="s">
        <v>590</v>
      </c>
      <c r="I69" s="30" t="s">
        <v>351</v>
      </c>
      <c r="J69" s="31">
        <f>IF(E69="Risiko",$C$3+Evaluasi!$D$6,EDATE($C$3,6))</f>
        <v>46397</v>
      </c>
      <c r="K69" s="5" t="s">
        <v>591</v>
      </c>
      <c r="L69" s="30" t="s">
        <v>353</v>
      </c>
      <c r="M69" s="5" t="str">
        <f t="shared" si="1"/>
        <v>OK</v>
      </c>
    </row>
    <row r="70" spans="1:13" ht="23.25" customHeight="1" x14ac:dyDescent="0.25">
      <c r="A70" s="5" t="s">
        <v>294</v>
      </c>
      <c r="B70" s="5" t="s">
        <v>577</v>
      </c>
      <c r="C70" s="5" t="s">
        <v>592</v>
      </c>
      <c r="D70" s="29" t="s">
        <v>340</v>
      </c>
      <c r="E70" s="5" t="s">
        <v>283</v>
      </c>
      <c r="F70" s="5" t="s">
        <v>593</v>
      </c>
      <c r="G70" s="5">
        <f>COUNTIF(Pemetaan!$B$5:$B$64,A70)</f>
        <v>5</v>
      </c>
      <c r="H70" s="5" t="s">
        <v>594</v>
      </c>
      <c r="I70" s="30" t="s">
        <v>351</v>
      </c>
      <c r="J70" s="31">
        <f>IF(E70="Risiko",$C$3+Evaluasi!$D$6,EDATE($C$3,6))</f>
        <v>46397</v>
      </c>
      <c r="K70" s="5" t="s">
        <v>595</v>
      </c>
      <c r="L70" s="30" t="s">
        <v>353</v>
      </c>
      <c r="M70" s="5" t="str">
        <f t="shared" si="1"/>
        <v>OK</v>
      </c>
    </row>
    <row r="71" spans="1:13" ht="15" customHeight="1" x14ac:dyDescent="0.25">
      <c r="A71" s="5" t="s">
        <v>305</v>
      </c>
      <c r="B71" s="5" t="s">
        <v>577</v>
      </c>
      <c r="C71" s="5" t="s">
        <v>596</v>
      </c>
      <c r="D71" s="29" t="s">
        <v>340</v>
      </c>
      <c r="E71" s="5" t="s">
        <v>283</v>
      </c>
      <c r="F71" s="5" t="s">
        <v>57</v>
      </c>
      <c r="G71" s="5">
        <f>COUNTIF(Pemetaan!$B$5:$B$64,A71)</f>
        <v>1</v>
      </c>
      <c r="H71" s="5" t="s">
        <v>597</v>
      </c>
      <c r="I71" s="30" t="s">
        <v>351</v>
      </c>
      <c r="J71" s="31">
        <f>IF(E71="Risiko",$C$3+Evaluasi!$D$6,EDATE($C$3,6))</f>
        <v>46397</v>
      </c>
      <c r="K71" s="5" t="s">
        <v>598</v>
      </c>
      <c r="L71" s="30" t="s">
        <v>353</v>
      </c>
      <c r="M71" s="5" t="str">
        <f t="shared" ref="M71:M102" si="2">IF(AND(D71="Tidak",G71&gt;0),"Konflik: ada risiko terkait",IF(AND(D71="Ya",E71="Risiko",G71=0),"Tidak ada risiko terkait",IF(AND(D71="Ya",I71="-"),"Status kosong",IF(AND(I71="Sudah diterapkan",L71&lt;&gt;"Ada"),"Status Sudah tanpa bukti lengkap",IF(AND(I71="Sebagian",L71="Belum ada"),"Status Sebagian tanpa bukti",IF(AND(I71="Terencana",L71="Ada"),"Terencana tapi bukti sudah ada, cek statusnya",IF(AND(I71="Terencana",ISNUMBER(J71),J71&lt;$C$5),"Target terlewat","OK")))))))</f>
        <v>OK</v>
      </c>
    </row>
    <row r="72" spans="1:13" ht="15" customHeight="1" x14ac:dyDescent="0.25">
      <c r="A72" s="5" t="s">
        <v>309</v>
      </c>
      <c r="B72" s="5" t="s">
        <v>577</v>
      </c>
      <c r="C72" s="5" t="s">
        <v>599</v>
      </c>
      <c r="D72" s="29" t="s">
        <v>340</v>
      </c>
      <c r="E72" s="5" t="s">
        <v>283</v>
      </c>
      <c r="F72" s="5" t="s">
        <v>600</v>
      </c>
      <c r="G72" s="5">
        <f>COUNTIF(Pemetaan!$B$5:$B$64,A72)</f>
        <v>2</v>
      </c>
      <c r="H72" s="5" t="s">
        <v>601</v>
      </c>
      <c r="I72" s="30" t="s">
        <v>351</v>
      </c>
      <c r="J72" s="31">
        <f>IF(E72="Risiko",$C$3+Evaluasi!$D$6,EDATE($C$3,6))</f>
        <v>46397</v>
      </c>
      <c r="K72" s="5" t="s">
        <v>602</v>
      </c>
      <c r="L72" s="30" t="s">
        <v>353</v>
      </c>
      <c r="M72" s="5" t="str">
        <f t="shared" si="2"/>
        <v>OK</v>
      </c>
    </row>
    <row r="73" spans="1:13" ht="15" customHeight="1" x14ac:dyDescent="0.25">
      <c r="A73" s="5" t="s">
        <v>289</v>
      </c>
      <c r="B73" s="5" t="s">
        <v>577</v>
      </c>
      <c r="C73" s="5" t="s">
        <v>603</v>
      </c>
      <c r="D73" s="29" t="s">
        <v>340</v>
      </c>
      <c r="E73" s="5" t="s">
        <v>283</v>
      </c>
      <c r="F73" s="5" t="s">
        <v>17</v>
      </c>
      <c r="G73" s="5">
        <f>COUNTIF(Pemetaan!$B$5:$B$64,A73)</f>
        <v>1</v>
      </c>
      <c r="H73" s="5" t="s">
        <v>604</v>
      </c>
      <c r="I73" s="30" t="s">
        <v>351</v>
      </c>
      <c r="J73" s="31">
        <f>IF(E73="Risiko",$C$3+Evaluasi!$D$6,EDATE($C$3,6))</f>
        <v>46397</v>
      </c>
      <c r="K73" s="5" t="s">
        <v>605</v>
      </c>
      <c r="L73" s="30" t="s">
        <v>353</v>
      </c>
      <c r="M73" s="5" t="str">
        <f t="shared" si="2"/>
        <v>OK</v>
      </c>
    </row>
    <row r="74" spans="1:13" ht="15" customHeight="1" x14ac:dyDescent="0.25">
      <c r="A74" s="5" t="s">
        <v>296</v>
      </c>
      <c r="B74" s="5" t="s">
        <v>577</v>
      </c>
      <c r="C74" s="5" t="s">
        <v>606</v>
      </c>
      <c r="D74" s="29" t="s">
        <v>340</v>
      </c>
      <c r="E74" s="5" t="s">
        <v>283</v>
      </c>
      <c r="F74" s="5" t="s">
        <v>27</v>
      </c>
      <c r="G74" s="5">
        <f>COUNTIF(Pemetaan!$B$5:$B$64,A74)</f>
        <v>1</v>
      </c>
      <c r="H74" s="5" t="s">
        <v>607</v>
      </c>
      <c r="I74" s="30" t="s">
        <v>351</v>
      </c>
      <c r="J74" s="31">
        <f>IF(E74="Risiko",$C$3+Evaluasi!$D$6,EDATE($C$3,6))</f>
        <v>46397</v>
      </c>
      <c r="K74" s="5" t="s">
        <v>608</v>
      </c>
      <c r="L74" s="30" t="s">
        <v>353</v>
      </c>
      <c r="M74" s="5" t="str">
        <f t="shared" si="2"/>
        <v>OK</v>
      </c>
    </row>
    <row r="75" spans="1:13" ht="23.25" customHeight="1" x14ac:dyDescent="0.25">
      <c r="A75" s="5" t="s">
        <v>609</v>
      </c>
      <c r="B75" s="5" t="s">
        <v>577</v>
      </c>
      <c r="C75" s="5" t="s">
        <v>610</v>
      </c>
      <c r="D75" s="29" t="s">
        <v>340</v>
      </c>
      <c r="E75" s="5" t="s">
        <v>360</v>
      </c>
      <c r="F75" s="5" t="s">
        <v>167</v>
      </c>
      <c r="G75" s="5">
        <f>COUNTIF(Pemetaan!$B$5:$B$64,A75)</f>
        <v>0</v>
      </c>
      <c r="H75" s="5" t="s">
        <v>611</v>
      </c>
      <c r="I75" s="30" t="s">
        <v>343</v>
      </c>
      <c r="J75" s="5" t="s">
        <v>167</v>
      </c>
      <c r="K75" s="5" t="s">
        <v>612</v>
      </c>
      <c r="L75" s="30" t="s">
        <v>343</v>
      </c>
      <c r="M75" s="5" t="str">
        <f t="shared" si="2"/>
        <v>OK</v>
      </c>
    </row>
    <row r="76" spans="1:13" ht="23.25" customHeight="1" x14ac:dyDescent="0.25">
      <c r="A76" s="5" t="s">
        <v>613</v>
      </c>
      <c r="B76" s="5" t="s">
        <v>577</v>
      </c>
      <c r="C76" s="5" t="s">
        <v>614</v>
      </c>
      <c r="D76" s="29" t="s">
        <v>340</v>
      </c>
      <c r="E76" s="5" t="s">
        <v>360</v>
      </c>
      <c r="F76" s="5" t="s">
        <v>167</v>
      </c>
      <c r="G76" s="5">
        <f>COUNTIF(Pemetaan!$B$5:$B$64,A76)</f>
        <v>0</v>
      </c>
      <c r="H76" s="5" t="s">
        <v>615</v>
      </c>
      <c r="I76" s="30" t="s">
        <v>351</v>
      </c>
      <c r="J76" s="31">
        <f>IF(E76="Risiko",$C$3+Evaluasi!$D$6,EDATE($C$3,6))</f>
        <v>46489</v>
      </c>
      <c r="K76" s="5" t="s">
        <v>616</v>
      </c>
      <c r="L76" s="30" t="s">
        <v>353</v>
      </c>
      <c r="M76" s="5" t="str">
        <f t="shared" si="2"/>
        <v>OK</v>
      </c>
    </row>
    <row r="77" spans="1:13" ht="23.25" customHeight="1" x14ac:dyDescent="0.25">
      <c r="A77" s="5" t="s">
        <v>617</v>
      </c>
      <c r="B77" s="5" t="s">
        <v>577</v>
      </c>
      <c r="C77" s="5" t="s">
        <v>618</v>
      </c>
      <c r="D77" s="29" t="s">
        <v>365</v>
      </c>
      <c r="E77" s="5" t="s">
        <v>366</v>
      </c>
      <c r="F77" s="5" t="s">
        <v>167</v>
      </c>
      <c r="G77" s="5">
        <f>COUNTIF(Pemetaan!$B$5:$B$64,A77)</f>
        <v>0</v>
      </c>
      <c r="H77" s="5" t="s">
        <v>619</v>
      </c>
      <c r="I77" s="30" t="s">
        <v>167</v>
      </c>
      <c r="J77" s="5" t="s">
        <v>167</v>
      </c>
      <c r="K77" s="5" t="s">
        <v>620</v>
      </c>
      <c r="L77" s="30" t="s">
        <v>167</v>
      </c>
      <c r="M77" s="5" t="str">
        <f t="shared" si="2"/>
        <v>OK</v>
      </c>
    </row>
    <row r="78" spans="1:13" ht="15" customHeight="1" x14ac:dyDescent="0.25">
      <c r="A78" s="5" t="s">
        <v>308</v>
      </c>
      <c r="B78" s="5" t="s">
        <v>577</v>
      </c>
      <c r="C78" s="5" t="s">
        <v>621</v>
      </c>
      <c r="D78" s="29" t="s">
        <v>340</v>
      </c>
      <c r="E78" s="5" t="s">
        <v>283</v>
      </c>
      <c r="F78" s="5" t="s">
        <v>76</v>
      </c>
      <c r="G78" s="5">
        <f>COUNTIF(Pemetaan!$B$5:$B$64,A78)</f>
        <v>1</v>
      </c>
      <c r="H78" s="5" t="s">
        <v>622</v>
      </c>
      <c r="I78" s="30" t="s">
        <v>351</v>
      </c>
      <c r="J78" s="31">
        <f>IF(E78="Risiko",$C$3+Evaluasi!$D$6,EDATE($C$3,6))</f>
        <v>46397</v>
      </c>
      <c r="K78" s="5" t="s">
        <v>623</v>
      </c>
      <c r="L78" s="30" t="s">
        <v>353</v>
      </c>
      <c r="M78" s="5" t="str">
        <f t="shared" si="2"/>
        <v>OK</v>
      </c>
    </row>
    <row r="79" spans="1:13" ht="15" customHeight="1" x14ac:dyDescent="0.25">
      <c r="A79" s="5" t="s">
        <v>311</v>
      </c>
      <c r="B79" s="5" t="s">
        <v>577</v>
      </c>
      <c r="C79" s="5" t="s">
        <v>624</v>
      </c>
      <c r="D79" s="29" t="s">
        <v>340</v>
      </c>
      <c r="E79" s="5" t="s">
        <v>283</v>
      </c>
      <c r="F79" s="5" t="s">
        <v>76</v>
      </c>
      <c r="G79" s="5">
        <f>COUNTIF(Pemetaan!$B$5:$B$64,A79)</f>
        <v>1</v>
      </c>
      <c r="H79" s="5" t="s">
        <v>625</v>
      </c>
      <c r="I79" s="30" t="s">
        <v>351</v>
      </c>
      <c r="J79" s="31">
        <f>IF(E79="Risiko",$C$3+Evaluasi!$D$6,EDATE($C$3,6))</f>
        <v>46397</v>
      </c>
      <c r="K79" s="5" t="s">
        <v>626</v>
      </c>
      <c r="L79" s="30" t="s">
        <v>353</v>
      </c>
      <c r="M79" s="5" t="str">
        <f t="shared" si="2"/>
        <v>OK</v>
      </c>
    </row>
    <row r="80" spans="1:13" ht="15" customHeight="1" x14ac:dyDescent="0.25">
      <c r="A80" s="5" t="s">
        <v>295</v>
      </c>
      <c r="B80" s="5" t="s">
        <v>577</v>
      </c>
      <c r="C80" s="5" t="s">
        <v>627</v>
      </c>
      <c r="D80" s="29" t="s">
        <v>340</v>
      </c>
      <c r="E80" s="5" t="s">
        <v>283</v>
      </c>
      <c r="F80" s="5" t="s">
        <v>628</v>
      </c>
      <c r="G80" s="5">
        <f>COUNTIF(Pemetaan!$B$5:$B$64,A80)</f>
        <v>3</v>
      </c>
      <c r="H80" s="5" t="s">
        <v>629</v>
      </c>
      <c r="I80" s="30" t="s">
        <v>351</v>
      </c>
      <c r="J80" s="31">
        <f>IF(E80="Risiko",$C$3+Evaluasi!$D$6,EDATE($C$3,6))</f>
        <v>46397</v>
      </c>
      <c r="K80" s="5" t="s">
        <v>630</v>
      </c>
      <c r="L80" s="30" t="s">
        <v>353</v>
      </c>
      <c r="M80" s="5" t="str">
        <f t="shared" si="2"/>
        <v>OK</v>
      </c>
    </row>
    <row r="81" spans="1:13" ht="23.25" customHeight="1" x14ac:dyDescent="0.25">
      <c r="A81" s="5" t="s">
        <v>298</v>
      </c>
      <c r="B81" s="5" t="s">
        <v>577</v>
      </c>
      <c r="C81" s="5" t="s">
        <v>631</v>
      </c>
      <c r="D81" s="29" t="s">
        <v>340</v>
      </c>
      <c r="E81" s="5" t="s">
        <v>283</v>
      </c>
      <c r="F81" s="5" t="s">
        <v>632</v>
      </c>
      <c r="G81" s="5">
        <f>COUNTIF(Pemetaan!$B$5:$B$64,A81)</f>
        <v>5</v>
      </c>
      <c r="H81" s="5" t="s">
        <v>633</v>
      </c>
      <c r="I81" s="30" t="s">
        <v>351</v>
      </c>
      <c r="J81" s="31">
        <f>IF(E81="Risiko",$C$3+Evaluasi!$D$6,EDATE($C$3,6))</f>
        <v>46397</v>
      </c>
      <c r="K81" s="5" t="s">
        <v>634</v>
      </c>
      <c r="L81" s="30" t="s">
        <v>353</v>
      </c>
      <c r="M81" s="5" t="str">
        <f t="shared" si="2"/>
        <v>OK</v>
      </c>
    </row>
    <row r="82" spans="1:13" ht="23.25" customHeight="1" x14ac:dyDescent="0.25">
      <c r="A82" s="5" t="s">
        <v>635</v>
      </c>
      <c r="B82" s="5" t="s">
        <v>577</v>
      </c>
      <c r="C82" s="5" t="s">
        <v>636</v>
      </c>
      <c r="D82" s="29" t="s">
        <v>340</v>
      </c>
      <c r="E82" s="5" t="s">
        <v>375</v>
      </c>
      <c r="F82" s="5" t="s">
        <v>167</v>
      </c>
      <c r="G82" s="5">
        <f>COUNTIF(Pemetaan!$B$5:$B$64,A82)</f>
        <v>0</v>
      </c>
      <c r="H82" s="5" t="s">
        <v>637</v>
      </c>
      <c r="I82" s="30" t="s">
        <v>381</v>
      </c>
      <c r="J82" s="5" t="s">
        <v>167</v>
      </c>
      <c r="K82" s="5" t="s">
        <v>638</v>
      </c>
      <c r="L82" s="30" t="s">
        <v>383</v>
      </c>
      <c r="M82" s="5" t="str">
        <f t="shared" si="2"/>
        <v>OK</v>
      </c>
    </row>
    <row r="83" spans="1:13" ht="23.25" customHeight="1" x14ac:dyDescent="0.25">
      <c r="A83" s="5" t="s">
        <v>639</v>
      </c>
      <c r="B83" s="5" t="s">
        <v>577</v>
      </c>
      <c r="C83" s="5" t="s">
        <v>640</v>
      </c>
      <c r="D83" s="29" t="s">
        <v>340</v>
      </c>
      <c r="E83" s="5" t="s">
        <v>375</v>
      </c>
      <c r="F83" s="5" t="s">
        <v>167</v>
      </c>
      <c r="G83" s="5">
        <f>COUNTIF(Pemetaan!$B$5:$B$64,A83)</f>
        <v>0</v>
      </c>
      <c r="H83" s="5" t="s">
        <v>641</v>
      </c>
      <c r="I83" s="30" t="s">
        <v>343</v>
      </c>
      <c r="J83" s="5" t="s">
        <v>167</v>
      </c>
      <c r="K83" s="5" t="s">
        <v>642</v>
      </c>
      <c r="L83" s="30" t="s">
        <v>343</v>
      </c>
      <c r="M83" s="5" t="str">
        <f t="shared" si="2"/>
        <v>OK</v>
      </c>
    </row>
    <row r="84" spans="1:13" ht="15" customHeight="1" x14ac:dyDescent="0.25">
      <c r="A84" s="5" t="s">
        <v>643</v>
      </c>
      <c r="B84" s="5" t="s">
        <v>577</v>
      </c>
      <c r="C84" s="5" t="s">
        <v>644</v>
      </c>
      <c r="D84" s="29" t="s">
        <v>340</v>
      </c>
      <c r="E84" s="5" t="s">
        <v>375</v>
      </c>
      <c r="F84" s="5" t="s">
        <v>167</v>
      </c>
      <c r="G84" s="5">
        <f>COUNTIF(Pemetaan!$B$5:$B$64,A84)</f>
        <v>0</v>
      </c>
      <c r="H84" s="5" t="s">
        <v>645</v>
      </c>
      <c r="I84" s="30" t="s">
        <v>343</v>
      </c>
      <c r="J84" s="5" t="s">
        <v>167</v>
      </c>
      <c r="K84" s="5" t="s">
        <v>646</v>
      </c>
      <c r="L84" s="30" t="s">
        <v>343</v>
      </c>
      <c r="M84" s="5" t="str">
        <f t="shared" si="2"/>
        <v>OK</v>
      </c>
    </row>
    <row r="85" spans="1:13" ht="15" customHeight="1" x14ac:dyDescent="0.25">
      <c r="A85" s="5" t="s">
        <v>306</v>
      </c>
      <c r="B85" s="5" t="s">
        <v>577</v>
      </c>
      <c r="C85" s="5" t="s">
        <v>647</v>
      </c>
      <c r="D85" s="29" t="s">
        <v>340</v>
      </c>
      <c r="E85" s="5" t="s">
        <v>283</v>
      </c>
      <c r="F85" s="5" t="s">
        <v>57</v>
      </c>
      <c r="G85" s="5">
        <f>COUNTIF(Pemetaan!$B$5:$B$64,A85)</f>
        <v>1</v>
      </c>
      <c r="H85" s="5" t="s">
        <v>648</v>
      </c>
      <c r="I85" s="30" t="s">
        <v>351</v>
      </c>
      <c r="J85" s="31">
        <f>IF(E85="Risiko",$C$3+Evaluasi!$D$6,EDATE($C$3,6))</f>
        <v>46397</v>
      </c>
      <c r="K85" s="5" t="s">
        <v>649</v>
      </c>
      <c r="L85" s="30" t="s">
        <v>353</v>
      </c>
      <c r="M85" s="5" t="str">
        <f t="shared" si="2"/>
        <v>OK</v>
      </c>
    </row>
    <row r="86" spans="1:13" ht="15" customHeight="1" x14ac:dyDescent="0.25">
      <c r="A86" s="5" t="s">
        <v>307</v>
      </c>
      <c r="B86" s="5" t="s">
        <v>577</v>
      </c>
      <c r="C86" s="5" t="s">
        <v>650</v>
      </c>
      <c r="D86" s="29" t="s">
        <v>340</v>
      </c>
      <c r="E86" s="5" t="s">
        <v>283</v>
      </c>
      <c r="F86" s="5" t="s">
        <v>57</v>
      </c>
      <c r="G86" s="5">
        <f>COUNTIF(Pemetaan!$B$5:$B$64,A86)</f>
        <v>1</v>
      </c>
      <c r="H86" s="5" t="s">
        <v>651</v>
      </c>
      <c r="I86" s="30" t="s">
        <v>351</v>
      </c>
      <c r="J86" s="31">
        <f>IF(E86="Risiko",$C$3+Evaluasi!$D$6,EDATE($C$3,6))</f>
        <v>46397</v>
      </c>
      <c r="K86" s="5" t="s">
        <v>652</v>
      </c>
      <c r="L86" s="30" t="s">
        <v>353</v>
      </c>
      <c r="M86" s="5" t="str">
        <f t="shared" si="2"/>
        <v>OK</v>
      </c>
    </row>
    <row r="87" spans="1:13" ht="23.25" customHeight="1" x14ac:dyDescent="0.25">
      <c r="A87" s="5" t="s">
        <v>653</v>
      </c>
      <c r="B87" s="5" t="s">
        <v>577</v>
      </c>
      <c r="C87" s="5" t="s">
        <v>654</v>
      </c>
      <c r="D87" s="29" t="s">
        <v>340</v>
      </c>
      <c r="E87" s="5" t="s">
        <v>375</v>
      </c>
      <c r="F87" s="5" t="s">
        <v>167</v>
      </c>
      <c r="G87" s="5">
        <f>COUNTIF(Pemetaan!$B$5:$B$64,A87)</f>
        <v>0</v>
      </c>
      <c r="H87" s="5" t="s">
        <v>655</v>
      </c>
      <c r="I87" s="30" t="s">
        <v>343</v>
      </c>
      <c r="J87" s="5" t="s">
        <v>167</v>
      </c>
      <c r="K87" s="5" t="s">
        <v>656</v>
      </c>
      <c r="L87" s="30" t="s">
        <v>343</v>
      </c>
      <c r="M87" s="5" t="str">
        <f t="shared" si="2"/>
        <v>OK</v>
      </c>
    </row>
    <row r="88" spans="1:13" ht="15" customHeight="1" x14ac:dyDescent="0.25">
      <c r="A88" s="5" t="s">
        <v>314</v>
      </c>
      <c r="B88" s="5" t="s">
        <v>577</v>
      </c>
      <c r="C88" s="5" t="s">
        <v>657</v>
      </c>
      <c r="D88" s="29" t="s">
        <v>340</v>
      </c>
      <c r="E88" s="5" t="s">
        <v>283</v>
      </c>
      <c r="F88" s="5" t="s">
        <v>88</v>
      </c>
      <c r="G88" s="5">
        <f>COUNTIF(Pemetaan!$B$5:$B$64,A88)</f>
        <v>1</v>
      </c>
      <c r="H88" s="5" t="s">
        <v>658</v>
      </c>
      <c r="I88" s="30" t="s">
        <v>351</v>
      </c>
      <c r="J88" s="31">
        <f>IF(E88="Risiko",$C$3+Evaluasi!$D$6,EDATE($C$3,6))</f>
        <v>46397</v>
      </c>
      <c r="K88" s="5" t="s">
        <v>659</v>
      </c>
      <c r="L88" s="30" t="s">
        <v>353</v>
      </c>
      <c r="M88" s="5" t="str">
        <f t="shared" si="2"/>
        <v>OK</v>
      </c>
    </row>
    <row r="89" spans="1:13" ht="23.25" customHeight="1" x14ac:dyDescent="0.25">
      <c r="A89" s="5" t="s">
        <v>297</v>
      </c>
      <c r="B89" s="5" t="s">
        <v>577</v>
      </c>
      <c r="C89" s="5" t="s">
        <v>660</v>
      </c>
      <c r="D89" s="29" t="s">
        <v>340</v>
      </c>
      <c r="E89" s="5" t="s">
        <v>283</v>
      </c>
      <c r="F89" s="5" t="s">
        <v>661</v>
      </c>
      <c r="G89" s="5">
        <f>COUNTIF(Pemetaan!$B$5:$B$64,A89)</f>
        <v>2</v>
      </c>
      <c r="H89" s="5" t="s">
        <v>662</v>
      </c>
      <c r="I89" s="30" t="s">
        <v>351</v>
      </c>
      <c r="J89" s="31">
        <f>IF(E89="Risiko",$C$3+Evaluasi!$D$6,EDATE($C$3,6))</f>
        <v>46397</v>
      </c>
      <c r="K89" s="5" t="s">
        <v>663</v>
      </c>
      <c r="L89" s="30" t="s">
        <v>353</v>
      </c>
      <c r="M89" s="5" t="str">
        <f t="shared" si="2"/>
        <v>OK</v>
      </c>
    </row>
    <row r="90" spans="1:13" ht="15" customHeight="1" x14ac:dyDescent="0.25">
      <c r="A90" s="5" t="s">
        <v>304</v>
      </c>
      <c r="B90" s="5" t="s">
        <v>577</v>
      </c>
      <c r="C90" s="5" t="s">
        <v>664</v>
      </c>
      <c r="D90" s="29" t="s">
        <v>340</v>
      </c>
      <c r="E90" s="5" t="s">
        <v>283</v>
      </c>
      <c r="F90" s="5" t="s">
        <v>45</v>
      </c>
      <c r="G90" s="5">
        <f>COUNTIF(Pemetaan!$B$5:$B$64,A90)</f>
        <v>1</v>
      </c>
      <c r="H90" s="5" t="s">
        <v>665</v>
      </c>
      <c r="I90" s="30" t="s">
        <v>351</v>
      </c>
      <c r="J90" s="31">
        <f>IF(E90="Risiko",$C$3+Evaluasi!$D$6,EDATE($C$3,6))</f>
        <v>46397</v>
      </c>
      <c r="K90" s="5" t="s">
        <v>666</v>
      </c>
      <c r="L90" s="30" t="s">
        <v>353</v>
      </c>
      <c r="M90" s="5" t="str">
        <f t="shared" si="2"/>
        <v>OK</v>
      </c>
    </row>
    <row r="91" spans="1:13" ht="15" customHeight="1" x14ac:dyDescent="0.25">
      <c r="A91" s="5" t="s">
        <v>286</v>
      </c>
      <c r="B91" s="5" t="s">
        <v>577</v>
      </c>
      <c r="C91" s="5" t="s">
        <v>667</v>
      </c>
      <c r="D91" s="29" t="s">
        <v>340</v>
      </c>
      <c r="E91" s="5" t="s">
        <v>283</v>
      </c>
      <c r="F91" s="5" t="s">
        <v>224</v>
      </c>
      <c r="G91" s="5">
        <f>COUNTIF(Pemetaan!$B$5:$B$64,A91)</f>
        <v>2</v>
      </c>
      <c r="H91" s="5" t="s">
        <v>668</v>
      </c>
      <c r="I91" s="30" t="s">
        <v>351</v>
      </c>
      <c r="J91" s="31">
        <f>IF(E91="Risiko",$C$3+Evaluasi!$D$6,EDATE($C$3,6))</f>
        <v>46397</v>
      </c>
      <c r="K91" s="5" t="s">
        <v>669</v>
      </c>
      <c r="L91" s="30" t="s">
        <v>353</v>
      </c>
      <c r="M91" s="5" t="str">
        <f t="shared" si="2"/>
        <v>OK</v>
      </c>
    </row>
    <row r="92" spans="1:13" ht="23.25" customHeight="1" x14ac:dyDescent="0.25">
      <c r="A92" s="5" t="s">
        <v>670</v>
      </c>
      <c r="B92" s="5" t="s">
        <v>577</v>
      </c>
      <c r="C92" s="5" t="s">
        <v>671</v>
      </c>
      <c r="D92" s="29" t="s">
        <v>340</v>
      </c>
      <c r="E92" s="5" t="s">
        <v>375</v>
      </c>
      <c r="F92" s="5" t="s">
        <v>167</v>
      </c>
      <c r="G92" s="5">
        <f>COUNTIF(Pemetaan!$B$5:$B$64,A92)</f>
        <v>0</v>
      </c>
      <c r="H92" s="5" t="s">
        <v>672</v>
      </c>
      <c r="I92" s="30" t="s">
        <v>343</v>
      </c>
      <c r="J92" s="5" t="s">
        <v>167</v>
      </c>
      <c r="K92" s="5" t="s">
        <v>673</v>
      </c>
      <c r="L92" s="30" t="s">
        <v>343</v>
      </c>
      <c r="M92" s="5" t="str">
        <f t="shared" si="2"/>
        <v>OK</v>
      </c>
    </row>
    <row r="93" spans="1:13" ht="15" customHeight="1" x14ac:dyDescent="0.25">
      <c r="A93" s="5" t="s">
        <v>287</v>
      </c>
      <c r="B93" s="5" t="s">
        <v>577</v>
      </c>
      <c r="C93" s="5" t="s">
        <v>674</v>
      </c>
      <c r="D93" s="29" t="s">
        <v>340</v>
      </c>
      <c r="E93" s="5" t="s">
        <v>283</v>
      </c>
      <c r="F93" s="5" t="s">
        <v>675</v>
      </c>
      <c r="G93" s="5">
        <f>COUNTIF(Pemetaan!$B$5:$B$64,A93)</f>
        <v>3</v>
      </c>
      <c r="H93" s="5" t="s">
        <v>676</v>
      </c>
      <c r="I93" s="30" t="s">
        <v>351</v>
      </c>
      <c r="J93" s="31">
        <f>IF(E93="Risiko",$C$3+Evaluasi!$D$6,EDATE($C$3,6))</f>
        <v>46397</v>
      </c>
      <c r="K93" s="5" t="s">
        <v>677</v>
      </c>
      <c r="L93" s="30" t="s">
        <v>353</v>
      </c>
      <c r="M93" s="5" t="str">
        <f t="shared" si="2"/>
        <v>OK</v>
      </c>
    </row>
    <row r="94" spans="1:13" ht="15" customHeight="1" x14ac:dyDescent="0.25">
      <c r="A94" s="5" t="s">
        <v>288</v>
      </c>
      <c r="B94" s="5" t="s">
        <v>577</v>
      </c>
      <c r="C94" s="5" t="s">
        <v>678</v>
      </c>
      <c r="D94" s="29" t="s">
        <v>340</v>
      </c>
      <c r="E94" s="5" t="s">
        <v>283</v>
      </c>
      <c r="F94" s="5" t="s">
        <v>224</v>
      </c>
      <c r="G94" s="5">
        <f>COUNTIF(Pemetaan!$B$5:$B$64,A94)</f>
        <v>2</v>
      </c>
      <c r="H94" s="5" t="s">
        <v>679</v>
      </c>
      <c r="I94" s="30" t="s">
        <v>351</v>
      </c>
      <c r="J94" s="31">
        <f>IF(E94="Risiko",$C$3+Evaluasi!$D$6,EDATE($C$3,6))</f>
        <v>46397</v>
      </c>
      <c r="K94" s="5" t="s">
        <v>680</v>
      </c>
      <c r="L94" s="30" t="s">
        <v>353</v>
      </c>
      <c r="M94" s="5" t="str">
        <f t="shared" si="2"/>
        <v>OK</v>
      </c>
    </row>
    <row r="95" spans="1:13" ht="23.25" customHeight="1" x14ac:dyDescent="0.25">
      <c r="A95" s="5" t="s">
        <v>681</v>
      </c>
      <c r="B95" s="5" t="s">
        <v>577</v>
      </c>
      <c r="C95" s="5" t="s">
        <v>682</v>
      </c>
      <c r="D95" s="29" t="s">
        <v>365</v>
      </c>
      <c r="E95" s="5" t="s">
        <v>366</v>
      </c>
      <c r="F95" s="5" t="s">
        <v>167</v>
      </c>
      <c r="G95" s="5">
        <f>COUNTIF(Pemetaan!$B$5:$B$64,A95)</f>
        <v>0</v>
      </c>
      <c r="H95" s="5" t="s">
        <v>683</v>
      </c>
      <c r="I95" s="30" t="s">
        <v>167</v>
      </c>
      <c r="J95" s="5" t="s">
        <v>167</v>
      </c>
      <c r="K95" s="5" t="s">
        <v>684</v>
      </c>
      <c r="L95" s="30" t="s">
        <v>167</v>
      </c>
      <c r="M95" s="5" t="str">
        <f t="shared" si="2"/>
        <v>OK</v>
      </c>
    </row>
    <row r="96" spans="1:13" ht="23.25" customHeight="1" x14ac:dyDescent="0.25">
      <c r="A96" s="5" t="s">
        <v>685</v>
      </c>
      <c r="B96" s="5" t="s">
        <v>577</v>
      </c>
      <c r="C96" s="5" t="s">
        <v>686</v>
      </c>
      <c r="D96" s="29" t="s">
        <v>340</v>
      </c>
      <c r="E96" s="5" t="s">
        <v>375</v>
      </c>
      <c r="F96" s="5" t="s">
        <v>167</v>
      </c>
      <c r="G96" s="5">
        <f>COUNTIF(Pemetaan!$B$5:$B$64,A96)</f>
        <v>0</v>
      </c>
      <c r="H96" s="5" t="s">
        <v>687</v>
      </c>
      <c r="I96" s="30" t="s">
        <v>343</v>
      </c>
      <c r="J96" s="5" t="s">
        <v>167</v>
      </c>
      <c r="K96" s="5" t="s">
        <v>688</v>
      </c>
      <c r="L96" s="30" t="s">
        <v>343</v>
      </c>
      <c r="M96" s="5" t="str">
        <f t="shared" si="2"/>
        <v>OK</v>
      </c>
    </row>
    <row r="97" spans="1:13" ht="23.25" customHeight="1" x14ac:dyDescent="0.25">
      <c r="A97" s="5" t="s">
        <v>303</v>
      </c>
      <c r="B97" s="5" t="s">
        <v>577</v>
      </c>
      <c r="C97" s="5" t="s">
        <v>689</v>
      </c>
      <c r="D97" s="29" t="s">
        <v>340</v>
      </c>
      <c r="E97" s="5" t="s">
        <v>283</v>
      </c>
      <c r="F97" s="5" t="s">
        <v>45</v>
      </c>
      <c r="G97" s="5">
        <f>COUNTIF(Pemetaan!$B$5:$B$64,A97)</f>
        <v>1</v>
      </c>
      <c r="H97" s="5" t="s">
        <v>690</v>
      </c>
      <c r="I97" s="30" t="s">
        <v>351</v>
      </c>
      <c r="J97" s="31">
        <f>IF(E97="Risiko",$C$3+Evaluasi!$D$6,EDATE($C$3,6))</f>
        <v>46397</v>
      </c>
      <c r="K97" s="5" t="s">
        <v>691</v>
      </c>
      <c r="L97" s="30" t="s">
        <v>353</v>
      </c>
      <c r="M97" s="5" t="str">
        <f t="shared" si="2"/>
        <v>OK</v>
      </c>
    </row>
    <row r="98" spans="1:13" ht="23.25" customHeight="1" x14ac:dyDescent="0.25">
      <c r="A98" s="5" t="s">
        <v>692</v>
      </c>
      <c r="B98" s="5" t="s">
        <v>577</v>
      </c>
      <c r="C98" s="5" t="s">
        <v>693</v>
      </c>
      <c r="D98" s="29" t="s">
        <v>340</v>
      </c>
      <c r="E98" s="5" t="s">
        <v>360</v>
      </c>
      <c r="F98" s="5" t="s">
        <v>167</v>
      </c>
      <c r="G98" s="5">
        <f>COUNTIF(Pemetaan!$B$5:$B$64,A98)</f>
        <v>0</v>
      </c>
      <c r="H98" s="5" t="s">
        <v>694</v>
      </c>
      <c r="I98" s="30" t="s">
        <v>343</v>
      </c>
      <c r="J98" s="5" t="s">
        <v>167</v>
      </c>
      <c r="K98" s="5" t="s">
        <v>695</v>
      </c>
      <c r="L98" s="30" t="s">
        <v>343</v>
      </c>
      <c r="M98" s="5" t="str">
        <f t="shared" si="2"/>
        <v>OK</v>
      </c>
    </row>
    <row r="99" spans="1:13" ht="23.25" customHeight="1" x14ac:dyDescent="0.25">
      <c r="A99" s="5" t="s">
        <v>696</v>
      </c>
      <c r="B99" s="5" t="s">
        <v>577</v>
      </c>
      <c r="C99" s="5" t="s">
        <v>697</v>
      </c>
      <c r="D99" s="29" t="s">
        <v>340</v>
      </c>
      <c r="E99" s="5" t="s">
        <v>375</v>
      </c>
      <c r="F99" s="5" t="s">
        <v>167</v>
      </c>
      <c r="G99" s="5">
        <f>COUNTIF(Pemetaan!$B$5:$B$64,A99)</f>
        <v>0</v>
      </c>
      <c r="H99" s="5" t="s">
        <v>698</v>
      </c>
      <c r="I99" s="30" t="s">
        <v>343</v>
      </c>
      <c r="J99" s="5" t="s">
        <v>167</v>
      </c>
      <c r="K99" s="5" t="s">
        <v>699</v>
      </c>
      <c r="L99" s="30" t="s">
        <v>343</v>
      </c>
      <c r="M99" s="5" t="str">
        <f t="shared" si="2"/>
        <v>OK</v>
      </c>
    </row>
    <row r="101" spans="1:13" ht="15" customHeight="1" x14ac:dyDescent="0.25">
      <c r="A101" s="32" t="s">
        <v>700</v>
      </c>
    </row>
    <row r="102" spans="1:13" ht="15" customHeight="1" x14ac:dyDescent="0.25">
      <c r="A102" s="33">
        <v>1</v>
      </c>
      <c r="B102" s="3" t="s">
        <v>701</v>
      </c>
    </row>
    <row r="103" spans="1:13" ht="15" customHeight="1" x14ac:dyDescent="0.25">
      <c r="A103" s="33">
        <v>2</v>
      </c>
      <c r="B103" s="3" t="s">
        <v>702</v>
      </c>
    </row>
    <row r="104" spans="1:13" ht="15" customHeight="1" x14ac:dyDescent="0.25">
      <c r="A104" s="33">
        <v>3</v>
      </c>
      <c r="B104" s="3" t="s">
        <v>703</v>
      </c>
    </row>
    <row r="105" spans="1:13" ht="15" customHeight="1" x14ac:dyDescent="0.25">
      <c r="A105" s="33">
        <v>4</v>
      </c>
      <c r="B105" s="3" t="s">
        <v>704</v>
      </c>
    </row>
    <row r="106" spans="1:13" ht="15" customHeight="1" x14ac:dyDescent="0.25">
      <c r="A106" s="33">
        <v>5</v>
      </c>
      <c r="B106" s="3" t="s">
        <v>705</v>
      </c>
    </row>
    <row r="107" spans="1:13" ht="15" customHeight="1" x14ac:dyDescent="0.25">
      <c r="A107" s="33">
        <v>6</v>
      </c>
      <c r="B107" s="3" t="s">
        <v>706</v>
      </c>
    </row>
    <row r="108" spans="1:13" ht="15" customHeight="1" x14ac:dyDescent="0.25">
      <c r="A108" s="33">
        <v>7</v>
      </c>
      <c r="B108" s="3" t="s">
        <v>707</v>
      </c>
    </row>
    <row r="109" spans="1:13" ht="15" customHeight="1" x14ac:dyDescent="0.25">
      <c r="A109" s="33">
        <v>8</v>
      </c>
      <c r="B109" s="3" t="s">
        <v>708</v>
      </c>
    </row>
  </sheetData>
  <autoFilter ref="A6:M99" xr:uid="{00000000-0009-0000-0000-000007000000}"/>
  <conditionalFormatting sqref="D7:D99">
    <cfRule type="expression" dxfId="1" priority="3">
      <formula>D7="Tidak"</formula>
    </cfRule>
  </conditionalFormatting>
  <conditionalFormatting sqref="M7:M99">
    <cfRule type="expression" dxfId="0" priority="2">
      <formula>M7&lt;&gt;"OK"</formula>
    </cfRule>
  </conditionalFormatting>
  <dataValidations count="3">
    <dataValidation type="list" sqref="D7:D99" xr:uid="{00000000-0002-0000-0700-000000000000}">
      <formula1>"Ya,Tidak"</formula1>
      <formula2>0</formula2>
    </dataValidation>
    <dataValidation type="list" sqref="I7:I99" xr:uid="{00000000-0002-0000-0700-000001000000}">
      <formula1>"Sudah diterapkan,Sebagian,Terencana,Belum,-"</formula1>
      <formula2>0</formula2>
    </dataValidation>
    <dataValidation type="list" sqref="L7:L99" xr:uid="{00000000-0002-0000-0700-000002000000}">
      <formula1>"Ada,Sebagian,Belum ada,-"</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Lembar kerja</vt:lpstr>
      </vt:variant>
      <vt:variant>
        <vt:i4>8</vt:i4>
      </vt:variant>
    </vt:vector>
  </HeadingPairs>
  <TitlesOfParts>
    <vt:vector size="8" baseType="lpstr">
      <vt:lpstr>Risk Register</vt:lpstr>
      <vt:lpstr>Evaluasi</vt:lpstr>
      <vt:lpstr>Penanganan</vt:lpstr>
      <vt:lpstr>Kelompok</vt:lpstr>
      <vt:lpstr>Kriteria</vt:lpstr>
      <vt:lpstr>Ringkasan</vt:lpstr>
      <vt:lpstr>Pemetaan</vt:lpstr>
      <vt:lpstr>SoA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Ali Hartigan</cp:lastModifiedBy>
  <cp:revision>0</cp:revision>
  <dcterms:created xsi:type="dcterms:W3CDTF">2026-10-12T04:09:47Z</dcterms:created>
  <dcterms:modified xsi:type="dcterms:W3CDTF">2026-10-29T04:14:10Z</dcterms:modified>
  <dc:language>en-US</dc:language>
</cp:coreProperties>
</file>